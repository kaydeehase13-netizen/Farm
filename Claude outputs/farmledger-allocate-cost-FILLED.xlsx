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locate Product Cost" sheetId="1" state="visible" r:id="rId1"/>
    <sheet xmlns:r="http://schemas.openxmlformats.org/officeDocument/2006/relationships" name="Year Comparison" sheetId="2" state="visible" r:id="rId2"/>
    <sheet xmlns:r="http://schemas.openxmlformats.org/officeDocument/2006/relationships" name="Categories (reference)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'Allocate Product Cost'!$A$1:$F$1</definedName>
    <definedName name="_xlnm._FilterDatabase" localSheetId="1" hidden="1">'Year Comparison'!$A$1:$F$1</definedName>
  </definedNames>
  <calcPr calcId="171027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b val="1"/>
      <color rgb="FFB00020"/>
    </font>
  </fonts>
  <fills count="3">
    <fill>
      <patternFill/>
    </fill>
    <fill>
      <patternFill patternType="gray125"/>
    </fill>
    <fill>
      <patternFill patternType="solid">
        <fgColor rgb="FF1F3D2E"/>
      </patternFill>
    </fill>
  </fills>
  <borders count="3">
    <border>
      <left/>
      <right/>
      <top/>
      <bottom/>
      <diagonal/>
    </border>
    <border>
      <bottom style="thin">
        <color rgb="FFD9D9D9"/>
      </bottom>
    </border>
    <border>
      <top style="medium">
        <color rgb="FF1F3D2E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2" pivotButton="0" quotePrefix="0" xfId="0"/>
    <xf numFmtId="164" fontId="2" fillId="0" borderId="2" pivotButton="0" quotePrefix="0" xfId="0"/>
    <xf numFmtId="165" fontId="2" fillId="0" borderId="2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26" customWidth="1" min="2" max="2"/>
    <col width="16" customWidth="1" min="3" max="3"/>
    <col width="26" customWidth="1" min="4" max="4"/>
    <col width="22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Product Name</t>
        </is>
      </c>
      <c r="C1" s="1" t="inlineStr">
        <is>
          <t>Total Amount</t>
        </is>
      </c>
      <c r="D1" s="1" t="inlineStr">
        <is>
          <t>Category</t>
        </is>
      </c>
      <c r="E1" s="1" t="inlineStr">
        <is>
          <t>Vendor (optional)</t>
        </is>
      </c>
      <c r="F1" s="1" t="inlineStr">
        <is>
          <t>Date (optional, YYYY-MM-DD)</t>
        </is>
      </c>
    </row>
    <row r="2">
      <c r="A2" t="n">
        <v>2026</v>
      </c>
      <c r="B2" t="inlineStr">
        <is>
          <t>10-34-0</t>
        </is>
      </c>
      <c r="C2" s="2" t="n">
        <v>8687.26</v>
      </c>
      <c r="D2" t="inlineStr">
        <is>
          <t>Fertilizer</t>
        </is>
      </c>
      <c r="E2" t="inlineStr">
        <is>
          <t>FCE</t>
        </is>
      </c>
    </row>
    <row r="3">
      <c r="A3" t="n">
        <v>2026</v>
      </c>
      <c r="B3" t="inlineStr">
        <is>
          <t>104-08</t>
        </is>
      </c>
      <c r="C3" s="2" t="n">
        <v>4463.84</v>
      </c>
      <c r="D3" t="inlineStr">
        <is>
          <t>Seed</t>
        </is>
      </c>
      <c r="E3" t="inlineStr">
        <is>
          <t>Kanza</t>
        </is>
      </c>
    </row>
    <row r="4">
      <c r="A4" t="n">
        <v>2026</v>
      </c>
      <c r="B4" t="inlineStr">
        <is>
          <t>104-08 (Dekalb)</t>
        </is>
      </c>
      <c r="C4" s="2" t="inlineStr"/>
    </row>
    <row r="5">
      <c r="A5" t="n">
        <v>2026</v>
      </c>
      <c r="B5" t="inlineStr">
        <is>
          <t>11-18</t>
        </is>
      </c>
      <c r="C5" s="2" t="inlineStr"/>
    </row>
    <row r="6">
      <c r="A6" t="n">
        <v>2026</v>
      </c>
      <c r="B6" t="inlineStr">
        <is>
          <t>12-0-0-26 (THIO)</t>
        </is>
      </c>
      <c r="C6" s="2" t="n">
        <v>7311.77</v>
      </c>
      <c r="D6" t="inlineStr">
        <is>
          <t>Fertilizer</t>
        </is>
      </c>
      <c r="E6" t="inlineStr">
        <is>
          <t>Kanza</t>
        </is>
      </c>
    </row>
    <row r="7">
      <c r="A7" t="n">
        <v>2026</v>
      </c>
      <c r="B7" t="inlineStr">
        <is>
          <t>1548 +soil add</t>
        </is>
      </c>
      <c r="C7" s="2" t="inlineStr"/>
    </row>
    <row r="8">
      <c r="A8" t="n">
        <v>2026</v>
      </c>
      <c r="B8" t="inlineStr">
        <is>
          <t>1548am 12.5k</t>
        </is>
      </c>
      <c r="C8" s="2" t="inlineStr"/>
    </row>
    <row r="9">
      <c r="A9" t="n">
        <v>2026</v>
      </c>
      <c r="B9" t="inlineStr">
        <is>
          <t>1548am 20k</t>
        </is>
      </c>
      <c r="C9" s="2" t="inlineStr"/>
    </row>
    <row r="10">
      <c r="A10" t="n">
        <v>2026</v>
      </c>
      <c r="B10" t="inlineStr">
        <is>
          <t>28 Thio</t>
        </is>
      </c>
      <c r="C10" s="2" t="inlineStr"/>
    </row>
    <row r="11">
      <c r="A11" t="n">
        <v>2026</v>
      </c>
      <c r="B11" t="inlineStr">
        <is>
          <t>28-0-0</t>
        </is>
      </c>
      <c r="C11" s="2" t="inlineStr"/>
    </row>
    <row r="12">
      <c r="A12" t="n">
        <v>2026</v>
      </c>
      <c r="B12" t="inlineStr">
        <is>
          <t>30% UAN</t>
        </is>
      </c>
      <c r="C12" s="2" t="inlineStr"/>
    </row>
    <row r="13">
      <c r="A13" t="n">
        <v>2026</v>
      </c>
      <c r="B13" t="inlineStr">
        <is>
          <t>32 Thio</t>
        </is>
      </c>
      <c r="C13" s="2" t="inlineStr"/>
    </row>
    <row r="14">
      <c r="A14" t="n">
        <v>2026</v>
      </c>
      <c r="B14" t="inlineStr">
        <is>
          <t>32-0-0</t>
        </is>
      </c>
      <c r="C14" s="2" t="n">
        <v>79435.83</v>
      </c>
      <c r="D14" t="inlineStr">
        <is>
          <t>Fertilizer</t>
        </is>
      </c>
      <c r="E14" t="inlineStr">
        <is>
          <t>Kanza / Tyree Ag</t>
        </is>
      </c>
    </row>
    <row r="15">
      <c r="A15" t="n">
        <v>2026</v>
      </c>
      <c r="B15" t="inlineStr">
        <is>
          <t>44-07 (Dekalb)</t>
        </is>
      </c>
      <c r="C15" s="2" t="n">
        <v>2858.88</v>
      </c>
      <c r="D15" t="inlineStr">
        <is>
          <t>Seed</t>
        </is>
      </c>
      <c r="E15" t="inlineStr">
        <is>
          <t>Kanza</t>
        </is>
      </c>
    </row>
    <row r="16">
      <c r="A16" t="n">
        <v>2026</v>
      </c>
      <c r="B16" t="inlineStr">
        <is>
          <t>6414v2p</t>
        </is>
      </c>
      <c r="C16" s="2" t="inlineStr"/>
    </row>
    <row r="17">
      <c r="A17" t="n">
        <v>2026</v>
      </c>
      <c r="B17" t="inlineStr">
        <is>
          <t>6414v2p (Beck's)</t>
        </is>
      </c>
      <c r="C17" s="2" t="inlineStr"/>
    </row>
    <row r="18">
      <c r="A18" t="n">
        <v>2026</v>
      </c>
      <c r="B18" t="inlineStr">
        <is>
          <t>86p20 (Pioneer)</t>
        </is>
      </c>
      <c r="C18" s="2" t="inlineStr"/>
    </row>
    <row r="19">
      <c r="A19" t="n">
        <v>2026</v>
      </c>
      <c r="B19" t="inlineStr">
        <is>
          <t>AG42XF1</t>
        </is>
      </c>
      <c r="C19" s="2" t="n">
        <v>8964</v>
      </c>
      <c r="D19" t="inlineStr">
        <is>
          <t>Seed</t>
        </is>
      </c>
      <c r="E19" t="inlineStr">
        <is>
          <t>Kanza</t>
        </is>
      </c>
    </row>
    <row r="20">
      <c r="A20" t="n">
        <v>2026</v>
      </c>
      <c r="B20" t="inlineStr">
        <is>
          <t>AG42XF1 (Asgrow)</t>
        </is>
      </c>
      <c r="C20" s="2" t="inlineStr"/>
    </row>
    <row r="21">
      <c r="A21" t="n">
        <v>2026</v>
      </c>
      <c r="B21" t="inlineStr">
        <is>
          <t>AMS</t>
        </is>
      </c>
      <c r="C21" s="2" t="n">
        <v>5263.2</v>
      </c>
      <c r="D21" t="inlineStr">
        <is>
          <t>Chemical</t>
        </is>
      </c>
      <c r="E21" t="inlineStr">
        <is>
          <t>Sims / Mom &amp; Dad</t>
        </is>
      </c>
    </row>
    <row r="22">
      <c r="A22" t="n">
        <v>2026</v>
      </c>
      <c r="B22" t="inlineStr">
        <is>
          <t>AP Prolific</t>
        </is>
      </c>
      <c r="C22" s="2" t="inlineStr"/>
    </row>
    <row r="23">
      <c r="A23" t="n">
        <v>2026</v>
      </c>
      <c r="B23" t="inlineStr">
        <is>
          <t>Atrazine 4L</t>
        </is>
      </c>
      <c r="C23" s="2" t="n">
        <v>3442.5</v>
      </c>
      <c r="D23" t="inlineStr">
        <is>
          <t>Chemical</t>
        </is>
      </c>
      <c r="E23" t="inlineStr">
        <is>
          <t>Sims</t>
        </is>
      </c>
    </row>
    <row r="24">
      <c r="A24" t="n">
        <v>2026</v>
      </c>
      <c r="B24" t="inlineStr">
        <is>
          <t>Corn (mixed varieties)</t>
        </is>
      </c>
      <c r="C24" s="2" t="inlineStr"/>
    </row>
    <row r="25">
      <c r="A25" t="n">
        <v>2026</v>
      </c>
      <c r="B25" t="inlineStr">
        <is>
          <t>DKC104-80RIB</t>
        </is>
      </c>
      <c r="C25" s="2" t="inlineStr"/>
    </row>
    <row r="26">
      <c r="A26" t="n">
        <v>2026</v>
      </c>
      <c r="B26" t="inlineStr">
        <is>
          <t>DKC104-80RIB (Dekalb)</t>
        </is>
      </c>
      <c r="C26" s="2" t="inlineStr"/>
    </row>
    <row r="27">
      <c r="A27" t="n">
        <v>2026</v>
      </c>
      <c r="B27" t="inlineStr">
        <is>
          <t>DKC114-43RIB (Dekalb)</t>
        </is>
      </c>
      <c r="C27" s="2" t="n">
        <v>5059.52</v>
      </c>
      <c r="D27" t="inlineStr">
        <is>
          <t>Seed</t>
        </is>
      </c>
      <c r="E27" t="inlineStr">
        <is>
          <t>Kanza</t>
        </is>
      </c>
    </row>
    <row r="28">
      <c r="A28" t="n">
        <v>2026</v>
      </c>
      <c r="B28" t="inlineStr">
        <is>
          <t>DKC63-55RIB (Dekalb)</t>
        </is>
      </c>
      <c r="C28" s="2" t="n">
        <v>3298.32</v>
      </c>
      <c r="D28" t="inlineStr">
        <is>
          <t>Seed</t>
        </is>
      </c>
      <c r="E28" t="inlineStr">
        <is>
          <t>Kanza</t>
        </is>
      </c>
    </row>
    <row r="29">
      <c r="A29" t="n">
        <v>2026</v>
      </c>
      <c r="B29" t="inlineStr">
        <is>
          <t>DKC64-25 (Dekalb)</t>
        </is>
      </c>
      <c r="C29" s="2" t="n">
        <v>3934.4</v>
      </c>
      <c r="D29" t="inlineStr">
        <is>
          <t>Seed</t>
        </is>
      </c>
      <c r="E29" t="inlineStr">
        <is>
          <t>Kanza</t>
        </is>
      </c>
    </row>
    <row r="30">
      <c r="A30" t="n">
        <v>2026</v>
      </c>
      <c r="B30" t="inlineStr">
        <is>
          <t>Feed</t>
        </is>
      </c>
      <c r="C30" s="2" t="inlineStr"/>
    </row>
    <row r="31">
      <c r="A31" t="n">
        <v>2026</v>
      </c>
      <c r="B31" t="inlineStr">
        <is>
          <t>Glufosinate</t>
        </is>
      </c>
      <c r="C31" s="2" t="n">
        <v>2025</v>
      </c>
      <c r="D31" t="inlineStr">
        <is>
          <t>Chemical</t>
        </is>
      </c>
      <c r="E31" t="inlineStr">
        <is>
          <t>Sims</t>
        </is>
      </c>
    </row>
    <row r="32">
      <c r="A32" t="n">
        <v>2026</v>
      </c>
      <c r="B32" t="inlineStr">
        <is>
          <t>GLYPEX 5 extra</t>
        </is>
      </c>
      <c r="C32" s="2" t="n">
        <v>11000</v>
      </c>
      <c r="D32" t="inlineStr">
        <is>
          <t>Chemical</t>
        </is>
      </c>
      <c r="E32" t="inlineStr">
        <is>
          <t>Sims</t>
        </is>
      </c>
    </row>
    <row r="33">
      <c r="A33" t="n">
        <v>2026</v>
      </c>
      <c r="B33" t="inlineStr">
        <is>
          <t>Hot Mes</t>
        </is>
      </c>
      <c r="C33" s="2" t="n">
        <v>4400</v>
      </c>
      <c r="D33" t="inlineStr">
        <is>
          <t>Chemical</t>
        </is>
      </c>
      <c r="E33" t="inlineStr">
        <is>
          <t>Sims</t>
        </is>
      </c>
    </row>
    <row r="34">
      <c r="A34" t="n">
        <v>2026</v>
      </c>
      <c r="B34" t="inlineStr">
        <is>
          <t>Humic</t>
        </is>
      </c>
      <c r="C34" s="2" t="n">
        <v>8178.38</v>
      </c>
      <c r="D34" t="inlineStr">
        <is>
          <t>Fertilizer</t>
        </is>
      </c>
      <c r="E34" t="inlineStr">
        <is>
          <t>Kanza</t>
        </is>
      </c>
    </row>
    <row r="35">
      <c r="A35" t="n">
        <v>2026</v>
      </c>
      <c r="B35" t="inlineStr">
        <is>
          <t>Inhabit p</t>
        </is>
      </c>
      <c r="C35" s="2" t="inlineStr"/>
    </row>
    <row r="36">
      <c r="A36" t="n">
        <v>2026</v>
      </c>
      <c r="B36" t="inlineStr">
        <is>
          <t>KANZA HUMIC</t>
        </is>
      </c>
      <c r="C36" s="2" t="inlineStr"/>
    </row>
    <row r="37">
      <c r="A37" t="n">
        <v>2026</v>
      </c>
      <c r="B37" t="inlineStr">
        <is>
          <t>Laudis</t>
        </is>
      </c>
      <c r="C37" s="2" t="n">
        <v>2785</v>
      </c>
      <c r="D37" t="inlineStr">
        <is>
          <t>Chemical</t>
        </is>
      </c>
      <c r="E37" t="inlineStr">
        <is>
          <t>Sims</t>
        </is>
      </c>
    </row>
    <row r="38">
      <c r="A38" t="n">
        <v>2026</v>
      </c>
      <c r="B38" t="inlineStr">
        <is>
          <t>MCPE</t>
        </is>
      </c>
      <c r="C38" s="2" t="n">
        <v>955.63</v>
      </c>
      <c r="D38" t="inlineStr">
        <is>
          <t>Chemical</t>
        </is>
      </c>
      <c r="E38" t="inlineStr">
        <is>
          <t>Kanza</t>
        </is>
      </c>
    </row>
    <row r="39">
      <c r="A39" t="n">
        <v>2026</v>
      </c>
      <c r="B39" t="inlineStr">
        <is>
          <t>Mesotrione</t>
        </is>
      </c>
      <c r="C39" s="2" t="n">
        <v>882</v>
      </c>
      <c r="D39" t="inlineStr">
        <is>
          <t>Chemical</t>
        </is>
      </c>
      <c r="E39" t="inlineStr">
        <is>
          <t>Sims</t>
        </is>
      </c>
    </row>
    <row r="40">
      <c r="A40" t="n">
        <v>2026</v>
      </c>
      <c r="B40" t="inlineStr">
        <is>
          <t>Metolachlor</t>
        </is>
      </c>
      <c r="C40" s="2" t="n">
        <v>4020</v>
      </c>
      <c r="D40" t="inlineStr">
        <is>
          <t>Chemical</t>
        </is>
      </c>
      <c r="E40" t="inlineStr">
        <is>
          <t>Sims</t>
        </is>
      </c>
    </row>
    <row r="41">
      <c r="A41" t="n">
        <v>2026</v>
      </c>
      <c r="B41" t="inlineStr">
        <is>
          <t>P1548AM</t>
        </is>
      </c>
      <c r="C41" s="2" t="inlineStr"/>
    </row>
    <row r="42">
      <c r="A42" t="n">
        <v>2026</v>
      </c>
      <c r="B42" t="inlineStr">
        <is>
          <t>P1548AM (Pioneer)</t>
        </is>
      </c>
      <c r="C42" s="2" t="inlineStr"/>
    </row>
    <row r="43">
      <c r="A43" t="n">
        <v>2026</v>
      </c>
      <c r="B43" t="inlineStr">
        <is>
          <t>Paraquat</t>
        </is>
      </c>
      <c r="C43" s="2" t="n">
        <v>6153.75</v>
      </c>
      <c r="D43" t="inlineStr">
        <is>
          <t>Chemical</t>
        </is>
      </c>
      <c r="E43" t="inlineStr">
        <is>
          <t>Sims</t>
        </is>
      </c>
    </row>
    <row r="44">
      <c r="A44" t="n">
        <v>2026</v>
      </c>
      <c r="B44" t="inlineStr">
        <is>
          <t>PHY357W3FE (Phytogen)</t>
        </is>
      </c>
      <c r="C44" s="2" t="inlineStr"/>
    </row>
    <row r="45">
      <c r="A45" t="n">
        <v>2026</v>
      </c>
      <c r="B45" t="inlineStr">
        <is>
          <t>Pioneer 86p20</t>
        </is>
      </c>
      <c r="C45" s="2" t="inlineStr"/>
    </row>
    <row r="46">
      <c r="A46" t="n">
        <v>2026</v>
      </c>
      <c r="B46" t="inlineStr">
        <is>
          <t>Preference</t>
        </is>
      </c>
      <c r="C46" s="2" t="n">
        <v>268.13</v>
      </c>
      <c r="D46" t="inlineStr">
        <is>
          <t>Chemical</t>
        </is>
      </c>
      <c r="E46" t="inlineStr">
        <is>
          <t>Kanza</t>
        </is>
      </c>
    </row>
    <row r="47">
      <c r="A47" t="n">
        <v>2026</v>
      </c>
      <c r="B47" t="inlineStr">
        <is>
          <t>Race/sharpen</t>
        </is>
      </c>
      <c r="C47" s="2" t="n">
        <v>2500</v>
      </c>
      <c r="D47" t="inlineStr">
        <is>
          <t>Chemical</t>
        </is>
      </c>
      <c r="E47" t="inlineStr">
        <is>
          <t>Sims</t>
        </is>
      </c>
    </row>
    <row r="48">
      <c r="A48" t="n">
        <v>2026</v>
      </c>
      <c r="B48" t="inlineStr">
        <is>
          <t>Rancor 75df/metribuzin</t>
        </is>
      </c>
      <c r="C48" s="2" t="n">
        <v>1511.25</v>
      </c>
      <c r="D48" t="inlineStr">
        <is>
          <t>Chemical</t>
        </is>
      </c>
      <c r="E48" t="inlineStr">
        <is>
          <t>Sims</t>
        </is>
      </c>
    </row>
    <row r="49">
      <c r="A49" t="n">
        <v>2026</v>
      </c>
      <c r="B49" t="inlineStr">
        <is>
          <t>Sorghum (mixed varieties)</t>
        </is>
      </c>
      <c r="C49" s="2" t="inlineStr"/>
    </row>
    <row r="50">
      <c r="A50" t="n">
        <v>2026</v>
      </c>
      <c r="B50" t="inlineStr">
        <is>
          <t>Soybeans (mixed varieties)</t>
        </is>
      </c>
      <c r="C50" s="2" t="inlineStr"/>
    </row>
    <row r="51">
      <c r="A51" t="n">
        <v>2026</v>
      </c>
      <c r="B51" t="inlineStr">
        <is>
          <t>Status</t>
        </is>
      </c>
      <c r="C51" s="2" t="n">
        <v>1125</v>
      </c>
      <c r="D51" t="inlineStr">
        <is>
          <t>Chemical</t>
        </is>
      </c>
      <c r="E51" t="inlineStr">
        <is>
          <t>Kanza</t>
        </is>
      </c>
    </row>
    <row r="52">
      <c r="A52" t="n">
        <v>2026</v>
      </c>
      <c r="B52" t="inlineStr">
        <is>
          <t>Sterling Blue</t>
        </is>
      </c>
      <c r="C52" s="2" t="n">
        <v>860</v>
      </c>
      <c r="D52" t="inlineStr">
        <is>
          <t>Chemical</t>
        </is>
      </c>
      <c r="E52" t="inlineStr">
        <is>
          <t>Kanza</t>
        </is>
      </c>
    </row>
    <row r="53">
      <c r="A53" t="n">
        <v>2026</v>
      </c>
      <c r="B53" t="inlineStr">
        <is>
          <t>Sunflowers</t>
        </is>
      </c>
      <c r="C53" s="2" t="inlineStr"/>
    </row>
    <row r="54">
      <c r="A54" t="n">
        <v>2026</v>
      </c>
      <c r="B54" t="inlineStr">
        <is>
          <t>TIDE FLUMI 44% SC</t>
        </is>
      </c>
      <c r="C54" s="2" t="n">
        <v>2475</v>
      </c>
      <c r="D54" t="inlineStr">
        <is>
          <t>Chemical</t>
        </is>
      </c>
      <c r="E54" t="inlineStr">
        <is>
          <t>Sims</t>
        </is>
      </c>
    </row>
    <row r="55">
      <c r="A55" t="n">
        <v>2026</v>
      </c>
      <c r="B55" t="inlineStr">
        <is>
          <t>Verdict</t>
        </is>
      </c>
      <c r="C55" s="2" t="n">
        <v>2680</v>
      </c>
      <c r="D55" t="inlineStr">
        <is>
          <t>Chemical</t>
        </is>
      </c>
      <c r="E55" t="inlineStr">
        <is>
          <t>Sims</t>
        </is>
      </c>
    </row>
    <row r="56">
      <c r="A56" t="n">
        <v>2026</v>
      </c>
      <c r="B56" t="inlineStr">
        <is>
          <t>Water</t>
        </is>
      </c>
      <c r="C56" s="2" t="inlineStr"/>
    </row>
    <row r="57">
      <c r="A57" t="n">
        <v>2026</v>
      </c>
      <c r="B57" t="inlineStr">
        <is>
          <t>Wheat (mixed varieties)</t>
        </is>
      </c>
      <c r="C57" s="2" t="inlineStr"/>
    </row>
    <row r="58">
      <c r="A58" t="n">
        <v>2026</v>
      </c>
      <c r="B58" t="inlineStr">
        <is>
          <t>Yukon</t>
        </is>
      </c>
      <c r="C58" s="2" t="inlineStr"/>
    </row>
    <row r="59">
      <c r="A59" t="n">
        <v>2025</v>
      </c>
      <c r="B59" t="inlineStr">
        <is>
          <t>10-34-0</t>
        </is>
      </c>
      <c r="C59" s="2" t="inlineStr"/>
    </row>
    <row r="60">
      <c r="A60" t="n">
        <v>2025</v>
      </c>
      <c r="B60" t="inlineStr">
        <is>
          <t>12-0-0-26 (THIO)</t>
        </is>
      </c>
      <c r="C60" s="2" t="n">
        <v>3607.07</v>
      </c>
      <c r="D60" t="inlineStr">
        <is>
          <t>Fertilizer</t>
        </is>
      </c>
      <c r="E60" t="inlineStr">
        <is>
          <t>Kanza</t>
        </is>
      </c>
    </row>
    <row r="61">
      <c r="A61" t="n">
        <v>2025</v>
      </c>
      <c r="B61" t="inlineStr">
        <is>
          <t>1548 +soil add</t>
        </is>
      </c>
      <c r="C61" s="2" t="inlineStr"/>
    </row>
    <row r="62">
      <c r="A62" t="n">
        <v>2025</v>
      </c>
      <c r="B62" t="inlineStr">
        <is>
          <t>1548 +soil add (Fbn)</t>
        </is>
      </c>
      <c r="C62" s="2" t="inlineStr"/>
    </row>
    <row r="63">
      <c r="A63" t="n">
        <v>2025</v>
      </c>
      <c r="B63" t="inlineStr">
        <is>
          <t>1548+boost</t>
        </is>
      </c>
      <c r="C63" s="2" t="inlineStr"/>
    </row>
    <row r="64">
      <c r="A64" t="n">
        <v>2025</v>
      </c>
      <c r="B64" t="inlineStr">
        <is>
          <t>1548am+soil add</t>
        </is>
      </c>
      <c r="C64" s="2" t="inlineStr"/>
    </row>
    <row r="65">
      <c r="A65" t="n">
        <v>2025</v>
      </c>
      <c r="B65" t="inlineStr">
        <is>
          <t>211-11vt2prib</t>
        </is>
      </c>
      <c r="C65" s="2" t="inlineStr"/>
    </row>
    <row r="66">
      <c r="A66" t="n">
        <v>2025</v>
      </c>
      <c r="B66" t="inlineStr">
        <is>
          <t>213-37vt2prib</t>
        </is>
      </c>
      <c r="C66" s="2" t="inlineStr"/>
    </row>
    <row r="67">
      <c r="A67" t="n">
        <v>2025</v>
      </c>
      <c r="B67" t="inlineStr">
        <is>
          <t>23</t>
        </is>
      </c>
      <c r="C67" s="2" t="inlineStr"/>
    </row>
    <row r="68">
      <c r="A68" t="n">
        <v>2025</v>
      </c>
      <c r="B68" t="inlineStr">
        <is>
          <t>23 (Dekalb)</t>
        </is>
      </c>
      <c r="C68" s="2" t="inlineStr"/>
    </row>
    <row r="69">
      <c r="A69" t="n">
        <v>2025</v>
      </c>
      <c r="B69" t="inlineStr">
        <is>
          <t>23/P48a14e/Rf (Dekalb/Pioneer)</t>
        </is>
      </c>
      <c r="C69" s="2" t="inlineStr"/>
    </row>
    <row r="70">
      <c r="A70" t="n">
        <v>2025</v>
      </c>
      <c r="B70" t="inlineStr">
        <is>
          <t>28-0-0</t>
        </is>
      </c>
      <c r="C70" s="2" t="inlineStr"/>
    </row>
    <row r="71">
      <c r="A71" t="n">
        <v>2025</v>
      </c>
      <c r="B71" t="inlineStr">
        <is>
          <t>28% UAN</t>
        </is>
      </c>
      <c r="C71" s="2" t="inlineStr"/>
    </row>
    <row r="72">
      <c r="A72" t="n">
        <v>2025</v>
      </c>
      <c r="B72" t="inlineStr">
        <is>
          <t>32-0-0</t>
        </is>
      </c>
      <c r="C72" s="2" t="n">
        <v>25753.05</v>
      </c>
      <c r="D72" t="inlineStr">
        <is>
          <t>Fertilizer</t>
        </is>
      </c>
      <c r="E72" t="inlineStr">
        <is>
          <t>Kanza</t>
        </is>
      </c>
    </row>
    <row r="73">
      <c r="A73" t="n">
        <v>2025</v>
      </c>
      <c r="B73" t="inlineStr">
        <is>
          <t>36-07 (Dekalb)</t>
        </is>
      </c>
      <c r="C73" s="2" t="n">
        <v>172.06</v>
      </c>
      <c r="D73" t="inlineStr">
        <is>
          <t>Seed</t>
        </is>
      </c>
      <c r="E73" t="inlineStr">
        <is>
          <t>Kanza</t>
        </is>
      </c>
    </row>
    <row r="74">
      <c r="A74" t="n">
        <v>2025</v>
      </c>
      <c r="B74" t="inlineStr">
        <is>
          <t>44-07 (Dekalb)</t>
        </is>
      </c>
      <c r="C74" s="2" t="n">
        <v>177.85</v>
      </c>
      <c r="D74" t="inlineStr">
        <is>
          <t>Seed</t>
        </is>
      </c>
      <c r="E74" t="inlineStr">
        <is>
          <t>Kanza</t>
        </is>
      </c>
    </row>
    <row r="75">
      <c r="A75" t="n">
        <v>2025</v>
      </c>
      <c r="B75" t="inlineStr">
        <is>
          <t>46A09E</t>
        </is>
      </c>
      <c r="C75" s="2" t="inlineStr"/>
    </row>
    <row r="76">
      <c r="A76" t="n">
        <v>2025</v>
      </c>
      <c r="B76" t="inlineStr">
        <is>
          <t>46A09E (Pioneer)</t>
        </is>
      </c>
      <c r="C76" s="2" t="inlineStr"/>
    </row>
    <row r="77">
      <c r="A77" t="n">
        <v>2025</v>
      </c>
      <c r="B77" t="inlineStr">
        <is>
          <t>5350BR</t>
        </is>
      </c>
      <c r="C77" s="2" t="inlineStr"/>
    </row>
    <row r="78">
      <c r="A78" t="n">
        <v>2025</v>
      </c>
      <c r="B78" t="inlineStr">
        <is>
          <t>54-07 (Dekalb)</t>
        </is>
      </c>
      <c r="C78" s="2" t="n">
        <v>172.06</v>
      </c>
      <c r="D78" t="inlineStr">
        <is>
          <t>Seed</t>
        </is>
      </c>
      <c r="E78" t="inlineStr">
        <is>
          <t>Kanza</t>
        </is>
      </c>
    </row>
    <row r="79">
      <c r="A79" t="n">
        <v>2025</v>
      </c>
      <c r="B79" t="inlineStr">
        <is>
          <t>5916 (Warner)</t>
        </is>
      </c>
      <c r="C79" s="2" t="inlineStr"/>
    </row>
    <row r="80">
      <c r="A80" t="n">
        <v>2025</v>
      </c>
      <c r="B80" t="inlineStr">
        <is>
          <t>64-25 12.5k</t>
        </is>
      </c>
      <c r="C80" s="2" t="inlineStr"/>
    </row>
    <row r="81">
      <c r="A81" t="n">
        <v>2025</v>
      </c>
      <c r="B81" t="inlineStr">
        <is>
          <t>64-25 15k</t>
        </is>
      </c>
      <c r="C81" s="2" t="inlineStr"/>
    </row>
    <row r="82">
      <c r="A82" t="n">
        <v>2025</v>
      </c>
      <c r="B82" t="inlineStr">
        <is>
          <t>64-25 17.5k</t>
        </is>
      </c>
      <c r="C82" s="2" t="inlineStr"/>
    </row>
    <row r="83">
      <c r="A83" t="n">
        <v>2025</v>
      </c>
      <c r="B83" t="inlineStr">
        <is>
          <t>64-25 20k</t>
        </is>
      </c>
      <c r="C83" s="2" t="inlineStr"/>
    </row>
    <row r="84">
      <c r="A84" t="n">
        <v>2025</v>
      </c>
      <c r="B84" t="inlineStr">
        <is>
          <t>6414RR</t>
        </is>
      </c>
      <c r="C84" s="2" t="inlineStr"/>
    </row>
    <row r="85">
      <c r="A85" t="n">
        <v>2025</v>
      </c>
      <c r="B85" t="inlineStr">
        <is>
          <t>6414v2p</t>
        </is>
      </c>
      <c r="C85" s="2" t="inlineStr"/>
    </row>
    <row r="86">
      <c r="A86" t="n">
        <v>2025</v>
      </c>
      <c r="B86" t="inlineStr">
        <is>
          <t>6414v2p (Beck's)</t>
        </is>
      </c>
      <c r="C86" s="2" t="inlineStr"/>
    </row>
    <row r="87">
      <c r="A87" t="n">
        <v>2025</v>
      </c>
      <c r="B87" t="inlineStr">
        <is>
          <t>6549vz</t>
        </is>
      </c>
      <c r="C87" s="2" t="inlineStr"/>
    </row>
    <row r="88">
      <c r="A88" t="n">
        <v>2025</v>
      </c>
      <c r="B88" t="inlineStr">
        <is>
          <t>7711 (Warner)</t>
        </is>
      </c>
      <c r="C88" s="2" t="inlineStr"/>
    </row>
    <row r="89">
      <c r="A89" t="n">
        <v>2025</v>
      </c>
      <c r="B89" t="inlineStr">
        <is>
          <t>84p94</t>
        </is>
      </c>
      <c r="C89" s="2" t="inlineStr"/>
    </row>
    <row r="90">
      <c r="A90" t="n">
        <v>2025</v>
      </c>
      <c r="B90" t="inlineStr">
        <is>
          <t>85z65</t>
        </is>
      </c>
      <c r="C90" s="2" t="inlineStr"/>
    </row>
    <row r="91">
      <c r="A91" t="n">
        <v>2025</v>
      </c>
      <c r="B91" t="inlineStr">
        <is>
          <t>85z65 (Pioneer)</t>
        </is>
      </c>
      <c r="C91" s="2" t="inlineStr"/>
    </row>
    <row r="92">
      <c r="A92" t="n">
        <v>2025</v>
      </c>
      <c r="B92" t="inlineStr">
        <is>
          <t>86p20</t>
        </is>
      </c>
      <c r="C92" s="2" t="inlineStr"/>
    </row>
    <row r="93">
      <c r="A93" t="n">
        <v>2025</v>
      </c>
      <c r="B93" t="inlineStr">
        <is>
          <t>86p20 (Pioneer)</t>
        </is>
      </c>
      <c r="C93" s="2" t="inlineStr"/>
    </row>
    <row r="94">
      <c r="A94" t="n">
        <v>2025</v>
      </c>
      <c r="B94" t="inlineStr">
        <is>
          <t>86p20 +boost</t>
        </is>
      </c>
      <c r="C94" s="2" t="inlineStr"/>
    </row>
    <row r="95">
      <c r="A95" t="n">
        <v>2025</v>
      </c>
      <c r="B95" t="inlineStr">
        <is>
          <t>86p20+boost/cat</t>
        </is>
      </c>
      <c r="C95" s="2" t="inlineStr"/>
    </row>
    <row r="96">
      <c r="A96" t="n">
        <v>2025</v>
      </c>
      <c r="B96" t="inlineStr">
        <is>
          <t>86p20+cat</t>
        </is>
      </c>
      <c r="C96" s="2" t="inlineStr"/>
    </row>
    <row r="97">
      <c r="A97" t="n">
        <v>2025</v>
      </c>
      <c r="B97" t="inlineStr">
        <is>
          <t>AMS</t>
        </is>
      </c>
      <c r="C97" s="2" t="n">
        <v>61.2</v>
      </c>
      <c r="D97" t="inlineStr">
        <is>
          <t>Chemical</t>
        </is>
      </c>
      <c r="E97" t="inlineStr">
        <is>
          <t>Kanza</t>
        </is>
      </c>
    </row>
    <row r="98">
      <c r="A98" t="n">
        <v>2025</v>
      </c>
      <c r="B98" t="inlineStr">
        <is>
          <t>AP Prolific</t>
        </is>
      </c>
      <c r="C98" s="2" t="inlineStr"/>
    </row>
    <row r="99">
      <c r="A99" t="n">
        <v>2025</v>
      </c>
      <c r="B99" t="inlineStr">
        <is>
          <t>AP Prolific (Agripro)</t>
        </is>
      </c>
      <c r="C99" s="2" t="inlineStr"/>
    </row>
    <row r="100">
      <c r="A100" t="n">
        <v>2025</v>
      </c>
      <c r="B100" t="inlineStr">
        <is>
          <t>Canola</t>
        </is>
      </c>
      <c r="C100" s="2" t="inlineStr"/>
    </row>
    <row r="101">
      <c r="A101" t="n">
        <v>2025</v>
      </c>
      <c r="B101" t="inlineStr">
        <is>
          <t>Corn (mixed varieties)</t>
        </is>
      </c>
      <c r="C101" s="2" t="inlineStr"/>
    </row>
    <row r="102">
      <c r="A102" t="n">
        <v>2025</v>
      </c>
      <c r="B102" t="inlineStr">
        <is>
          <t>Corn (P1151AM/P1151am+boost combined)</t>
        </is>
      </c>
      <c r="C102" s="2" t="inlineStr"/>
    </row>
    <row r="103">
      <c r="A103" t="n">
        <v>2025</v>
      </c>
      <c r="B103" t="inlineStr">
        <is>
          <t>Cp225wrr (Croplan)</t>
        </is>
      </c>
      <c r="C103" s="2" t="n">
        <v>2395</v>
      </c>
      <c r="D103" t="inlineStr">
        <is>
          <t>Seed</t>
        </is>
      </c>
      <c r="E103" t="inlineStr">
        <is>
          <t>Kanza</t>
        </is>
      </c>
    </row>
    <row r="104">
      <c r="A104" t="n">
        <v>2025</v>
      </c>
      <c r="B104" t="inlineStr">
        <is>
          <t>Dekalb 23</t>
        </is>
      </c>
      <c r="C104" s="2" t="inlineStr"/>
    </row>
    <row r="105">
      <c r="A105" t="n">
        <v>2025</v>
      </c>
      <c r="B105" t="inlineStr">
        <is>
          <t>Dekalb Rf</t>
        </is>
      </c>
      <c r="C105" s="2" t="inlineStr"/>
    </row>
    <row r="106">
      <c r="A106" t="n">
        <v>2025</v>
      </c>
      <c r="B106" t="inlineStr">
        <is>
          <t>DKC104-80RIB</t>
        </is>
      </c>
      <c r="C106" s="2" t="inlineStr"/>
    </row>
    <row r="107">
      <c r="A107" t="n">
        <v>2025</v>
      </c>
      <c r="B107" t="inlineStr">
        <is>
          <t>DKC107-69RIB</t>
        </is>
      </c>
      <c r="C107" s="2" t="inlineStr"/>
    </row>
    <row r="108">
      <c r="A108" t="n">
        <v>2025</v>
      </c>
      <c r="B108" t="inlineStr">
        <is>
          <t>DKC57-23RIB</t>
        </is>
      </c>
      <c r="C108" s="2" t="n">
        <v>259.63</v>
      </c>
      <c r="D108" t="inlineStr">
        <is>
          <t>Seed</t>
        </is>
      </c>
      <c r="E108" t="inlineStr">
        <is>
          <t>Kanza</t>
        </is>
      </c>
    </row>
    <row r="109">
      <c r="A109" t="n">
        <v>2025</v>
      </c>
      <c r="B109" t="inlineStr">
        <is>
          <t>DKC63-55RIB</t>
        </is>
      </c>
      <c r="C109" s="2" t="n">
        <v>225.76</v>
      </c>
      <c r="D109" t="inlineStr">
        <is>
          <t>Seed</t>
        </is>
      </c>
      <c r="E109" t="inlineStr">
        <is>
          <t>Kanza</t>
        </is>
      </c>
    </row>
    <row r="110">
      <c r="A110" t="n">
        <v>2025</v>
      </c>
      <c r="B110" t="inlineStr">
        <is>
          <t>DKC64-25</t>
        </is>
      </c>
      <c r="C110" s="2" t="n">
        <v>2004.8</v>
      </c>
      <c r="D110" t="inlineStr">
        <is>
          <t>Seed</t>
        </is>
      </c>
      <c r="E110" t="inlineStr">
        <is>
          <t>Kanza</t>
        </is>
      </c>
    </row>
    <row r="111">
      <c r="A111" t="n">
        <v>2025</v>
      </c>
      <c r="B111" t="inlineStr">
        <is>
          <t>Feed</t>
        </is>
      </c>
      <c r="C111" s="2" t="inlineStr"/>
    </row>
    <row r="112">
      <c r="A112" t="n">
        <v>2025</v>
      </c>
      <c r="B112" t="inlineStr">
        <is>
          <t>Glufosinate 280SL</t>
        </is>
      </c>
      <c r="C112" s="2" t="inlineStr"/>
    </row>
    <row r="113">
      <c r="A113" t="n">
        <v>2025</v>
      </c>
      <c r="B113" t="inlineStr">
        <is>
          <t>GLYPEX 5 extra</t>
        </is>
      </c>
      <c r="C113" s="2" t="inlineStr"/>
    </row>
    <row r="114">
      <c r="A114" t="n">
        <v>2025</v>
      </c>
      <c r="B114" t="inlineStr">
        <is>
          <t>Grasses (mixed varieties)</t>
        </is>
      </c>
      <c r="C114" s="2" t="inlineStr"/>
    </row>
    <row r="115">
      <c r="A115" t="n">
        <v>2025</v>
      </c>
      <c r="B115" t="inlineStr">
        <is>
          <t>Inhabit p</t>
        </is>
      </c>
      <c r="C115" s="2" t="inlineStr"/>
    </row>
    <row r="116">
      <c r="A116" t="n">
        <v>2025</v>
      </c>
      <c r="B116" t="inlineStr">
        <is>
          <t>M6476 (Beck's)</t>
        </is>
      </c>
      <c r="C116" s="2" t="inlineStr"/>
    </row>
    <row r="117">
      <c r="A117" t="n">
        <v>2025</v>
      </c>
      <c r="B117" t="inlineStr">
        <is>
          <t>M6586 (Beck's)</t>
        </is>
      </c>
      <c r="C117" s="2" t="inlineStr"/>
    </row>
    <row r="118">
      <c r="A118" t="n">
        <v>2025</v>
      </c>
      <c r="B118" t="inlineStr">
        <is>
          <t>M7191 (Beck's)</t>
        </is>
      </c>
      <c r="C118" s="2" t="inlineStr"/>
    </row>
    <row r="119">
      <c r="A119" t="n">
        <v>2025</v>
      </c>
      <c r="B119" t="inlineStr">
        <is>
          <t>Millet</t>
        </is>
      </c>
      <c r="C119" s="2" t="inlineStr"/>
    </row>
    <row r="120">
      <c r="A120" t="n">
        <v>2025</v>
      </c>
      <c r="B120" t="inlineStr">
        <is>
          <t>N</t>
        </is>
      </c>
      <c r="C120" s="2" t="inlineStr"/>
    </row>
    <row r="121">
      <c r="A121" t="n">
        <v>2025</v>
      </c>
      <c r="B121" t="inlineStr">
        <is>
          <t>P03357pcue</t>
        </is>
      </c>
      <c r="C121" s="2" t="inlineStr"/>
    </row>
    <row r="122">
      <c r="A122" t="n">
        <v>2025</v>
      </c>
      <c r="B122" t="inlineStr">
        <is>
          <t>P0404AM</t>
        </is>
      </c>
      <c r="C122" s="2" t="inlineStr"/>
    </row>
    <row r="123">
      <c r="A123" t="n">
        <v>2025</v>
      </c>
      <c r="B123" t="inlineStr">
        <is>
          <t>P0487pce</t>
        </is>
      </c>
      <c r="C123" s="2" t="inlineStr"/>
    </row>
    <row r="124">
      <c r="A124" t="n">
        <v>2025</v>
      </c>
      <c r="B124" t="inlineStr">
        <is>
          <t>P05081AML</t>
        </is>
      </c>
      <c r="C124" s="2" t="inlineStr"/>
    </row>
    <row r="125">
      <c r="A125" t="n">
        <v>2025</v>
      </c>
      <c r="B125" t="inlineStr">
        <is>
          <t>P0995AM</t>
        </is>
      </c>
      <c r="C125" s="2" t="inlineStr"/>
    </row>
    <row r="126">
      <c r="A126" t="n">
        <v>2025</v>
      </c>
      <c r="B126" t="inlineStr">
        <is>
          <t>P0995AM (Pioneer)</t>
        </is>
      </c>
      <c r="C126" s="2" t="inlineStr"/>
    </row>
    <row r="127">
      <c r="A127" t="n">
        <v>2025</v>
      </c>
      <c r="B127" t="inlineStr">
        <is>
          <t>P1151AM</t>
        </is>
      </c>
      <c r="C127" s="2" t="inlineStr"/>
    </row>
    <row r="128">
      <c r="A128" t="n">
        <v>2025</v>
      </c>
      <c r="B128" t="inlineStr">
        <is>
          <t>P1151am+boost (Pioneer)</t>
        </is>
      </c>
      <c r="C128" s="2" t="inlineStr"/>
    </row>
    <row r="129">
      <c r="A129" t="n">
        <v>2025</v>
      </c>
      <c r="B129" t="inlineStr">
        <is>
          <t>P1548AM</t>
        </is>
      </c>
      <c r="C129" s="2" t="inlineStr"/>
    </row>
    <row r="130">
      <c r="A130" t="n">
        <v>2025</v>
      </c>
      <c r="B130" t="inlineStr">
        <is>
          <t>P48a14e</t>
        </is>
      </c>
      <c r="C130" s="2" t="inlineStr"/>
    </row>
    <row r="131">
      <c r="A131" t="n">
        <v>2025</v>
      </c>
      <c r="B131" t="inlineStr">
        <is>
          <t>pioneer 85p75 (typo 'ploneer' in source)</t>
        </is>
      </c>
      <c r="C131" s="2" t="inlineStr"/>
    </row>
    <row r="132">
      <c r="A132" t="n">
        <v>2025</v>
      </c>
      <c r="B132" t="inlineStr">
        <is>
          <t>Sorghum (mixed varieties)</t>
        </is>
      </c>
      <c r="C132" s="2" t="inlineStr"/>
    </row>
    <row r="133">
      <c r="A133" t="n">
        <v>2025</v>
      </c>
      <c r="B133" t="inlineStr">
        <is>
          <t>Soybeans (mixed varieties)</t>
        </is>
      </c>
      <c r="C133" s="2" t="inlineStr"/>
    </row>
    <row r="134">
      <c r="A134" t="n">
        <v>2025</v>
      </c>
      <c r="B134" t="inlineStr">
        <is>
          <t>Wheat (mixed varieties)</t>
        </is>
      </c>
      <c r="C134" s="2" t="inlineStr"/>
    </row>
    <row r="135">
      <c r="A135" t="n">
        <v>2024</v>
      </c>
      <c r="B135" t="inlineStr">
        <is>
          <t>5911</t>
        </is>
      </c>
      <c r="C135" s="2" t="inlineStr"/>
    </row>
    <row r="136">
      <c r="A136" t="n">
        <v>2024</v>
      </c>
      <c r="B136" t="inlineStr">
        <is>
          <t>5911 (Warner)</t>
        </is>
      </c>
      <c r="C136" s="2" t="inlineStr"/>
    </row>
    <row r="137">
      <c r="A137" t="n">
        <v>2024</v>
      </c>
      <c r="B137" t="inlineStr">
        <is>
          <t>7721</t>
        </is>
      </c>
      <c r="C137" s="2" t="inlineStr"/>
    </row>
    <row r="138">
      <c r="A138" t="n">
        <v>2024</v>
      </c>
      <c r="B138" t="inlineStr">
        <is>
          <t>7721 (Warner)</t>
        </is>
      </c>
      <c r="C138" s="2" t="inlineStr"/>
    </row>
    <row r="139">
      <c r="A139" t="n">
        <v>2024</v>
      </c>
      <c r="B139" t="inlineStr">
        <is>
          <t>Corn</t>
        </is>
      </c>
      <c r="C139" s="2" t="inlineStr"/>
    </row>
    <row r="140">
      <c r="A140" t="n">
        <v>2024</v>
      </c>
      <c r="B140" t="inlineStr">
        <is>
          <t>corn (generic)</t>
        </is>
      </c>
      <c r="C140" s="2" t="inlineStr"/>
    </row>
    <row r="141">
      <c r="A141" t="n">
        <v>2024</v>
      </c>
      <c r="B141" t="inlineStr">
        <is>
          <t>Corn (mixed varieties)</t>
        </is>
      </c>
      <c r="C141" s="2" t="inlineStr"/>
    </row>
    <row r="142">
      <c r="A142" t="n">
        <v>2024</v>
      </c>
      <c r="B142" t="inlineStr">
        <is>
          <t>Soy 3.5</t>
        </is>
      </c>
      <c r="C142" s="2" t="inlineStr"/>
    </row>
    <row r="143">
      <c r="A143" t="n">
        <v>2024</v>
      </c>
      <c r="B143" t="inlineStr">
        <is>
          <t>Soy3.5</t>
        </is>
      </c>
      <c r="C143" s="2" t="inlineStr"/>
    </row>
    <row r="144">
      <c r="A144" t="n">
        <v>2024</v>
      </c>
      <c r="B144" t="inlineStr">
        <is>
          <t>Soybeans (mixed varieties)</t>
        </is>
      </c>
      <c r="C144" s="2" t="inlineStr"/>
    </row>
    <row r="145">
      <c r="A145" t="n">
        <v>2024</v>
      </c>
      <c r="B145" t="inlineStr">
        <is>
          <t>w5911</t>
        </is>
      </c>
      <c r="C145" s="2" t="inlineStr"/>
    </row>
    <row r="146">
      <c r="A146" t="n">
        <v>2024</v>
      </c>
      <c r="B146" t="inlineStr">
        <is>
          <t>w5911 (Warner)</t>
        </is>
      </c>
      <c r="C146" s="2" t="inlineStr"/>
    </row>
    <row r="147">
      <c r="A147" t="n">
        <v>2024</v>
      </c>
      <c r="B147" t="inlineStr">
        <is>
          <t>Warner 5911</t>
        </is>
      </c>
      <c r="C147" s="2" t="inlineStr"/>
    </row>
    <row r="148">
      <c r="A148" t="n">
        <v>2026</v>
      </c>
      <c r="B148" t="inlineStr">
        <is>
          <t>Atarrus</t>
        </is>
      </c>
      <c r="C148" s="2" t="n">
        <v>187.96</v>
      </c>
      <c r="D148" t="inlineStr">
        <is>
          <t>Chemical</t>
        </is>
      </c>
      <c r="E148" t="inlineStr">
        <is>
          <t>FBN</t>
        </is>
      </c>
    </row>
    <row r="149">
      <c r="A149" t="n">
        <v>2026</v>
      </c>
      <c r="B149" t="inlineStr">
        <is>
          <t>IVC Zinc 10%</t>
        </is>
      </c>
      <c r="C149" s="2" t="n">
        <v>937.5</v>
      </c>
      <c r="D149" t="inlineStr">
        <is>
          <t>Fertilizer</t>
        </is>
      </c>
      <c r="E149" t="inlineStr">
        <is>
          <t>FCE</t>
        </is>
      </c>
    </row>
    <row r="150">
      <c r="A150" t="n">
        <v>2026</v>
      </c>
      <c r="B150" t="inlineStr">
        <is>
          <t>Tempus 90/10 PREF</t>
        </is>
      </c>
      <c r="C150" s="2" t="n">
        <v>125.63</v>
      </c>
      <c r="D150" t="inlineStr">
        <is>
          <t>Chemical</t>
        </is>
      </c>
      <c r="E150" t="inlineStr">
        <is>
          <t>Kanza</t>
        </is>
      </c>
    </row>
    <row r="151">
      <c r="A151" t="n">
        <v>2026</v>
      </c>
      <c r="B151" t="inlineStr">
        <is>
          <t>Corsican</t>
        </is>
      </c>
      <c r="C151" s="2" t="n">
        <v>4690</v>
      </c>
      <c r="D151" t="inlineStr">
        <is>
          <t>Chemical</t>
        </is>
      </c>
      <c r="E151" t="inlineStr">
        <is>
          <t>Sims</t>
        </is>
      </c>
    </row>
    <row r="152">
      <c r="A152" t="n">
        <v>2026</v>
      </c>
      <c r="B152" t="inlineStr">
        <is>
          <t>DKC61-80RIB</t>
        </is>
      </c>
      <c r="C152" s="2" t="n">
        <v>3868.32</v>
      </c>
      <c r="D152" t="inlineStr">
        <is>
          <t>Seed</t>
        </is>
      </c>
      <c r="E152" t="inlineStr">
        <is>
          <t>Kanza</t>
        </is>
      </c>
    </row>
    <row r="153">
      <c r="A153" t="n">
        <v>2026</v>
      </c>
      <c r="B153" t="inlineStr">
        <is>
          <t>AG46XF2</t>
        </is>
      </c>
      <c r="C153" s="2" t="n">
        <v>1792.8</v>
      </c>
      <c r="D153" t="inlineStr">
        <is>
          <t>Seed</t>
        </is>
      </c>
      <c r="E153" t="inlineStr">
        <is>
          <t>Kanza</t>
        </is>
      </c>
    </row>
    <row r="154">
      <c r="A154" t="n">
        <v>2026</v>
      </c>
      <c r="B154" t="inlineStr">
        <is>
          <t>Primo R1 SM inoculant</t>
        </is>
      </c>
      <c r="C154" s="2" t="n">
        <v>900</v>
      </c>
      <c r="D154" t="inlineStr">
        <is>
          <t>Seed</t>
        </is>
      </c>
      <c r="E154" t="inlineStr">
        <is>
          <t>Kanza</t>
        </is>
      </c>
    </row>
    <row r="155">
      <c r="C155" s="2" t="n"/>
    </row>
    <row r="156">
      <c r="C156" s="2" t="n"/>
    </row>
    <row r="157">
      <c r="A157" t="n">
        <v>2026</v>
      </c>
      <c r="B157" t="inlineStr">
        <is>
          <t>28 Thio</t>
        </is>
      </c>
      <c r="C157" s="2" t="n"/>
      <c r="D157" t="inlineStr">
        <is>
          <t>Fertilizer</t>
        </is>
      </c>
    </row>
    <row r="158">
      <c r="A158" t="n">
        <v>2025</v>
      </c>
      <c r="B158" t="inlineStr">
        <is>
          <t>Interlock</t>
        </is>
      </c>
      <c r="C158" s="2" t="n">
        <v>640</v>
      </c>
      <c r="D158" t="inlineStr">
        <is>
          <t>Chemical</t>
        </is>
      </c>
      <c r="E158" t="inlineStr">
        <is>
          <t>Kanza</t>
        </is>
      </c>
    </row>
    <row r="159">
      <c r="A159" t="n">
        <v>2025</v>
      </c>
      <c r="B159" t="inlineStr">
        <is>
          <t>Trevo P</t>
        </is>
      </c>
      <c r="C159" s="2" t="n">
        <v>975</v>
      </c>
      <c r="D159" t="inlineStr">
        <is>
          <t>Chemical</t>
        </is>
      </c>
      <c r="E159" t="inlineStr">
        <is>
          <t>Kanza</t>
        </is>
      </c>
    </row>
    <row r="160">
      <c r="A160" t="n">
        <v>2025</v>
      </c>
      <c r="B160" t="inlineStr">
        <is>
          <t>Preference</t>
        </is>
      </c>
      <c r="C160" s="2" t="n">
        <v>484.38</v>
      </c>
      <c r="D160" t="inlineStr">
        <is>
          <t>Chemical</t>
        </is>
      </c>
      <c r="E160" t="inlineStr">
        <is>
          <t>Kanza</t>
        </is>
      </c>
    </row>
    <row r="161">
      <c r="A161" t="n">
        <v>2025</v>
      </c>
      <c r="B161" t="inlineStr">
        <is>
          <t>Firezone</t>
        </is>
      </c>
      <c r="C161" s="2" t="n">
        <v>885</v>
      </c>
      <c r="D161" t="inlineStr">
        <is>
          <t>Chemical</t>
        </is>
      </c>
      <c r="E161" t="inlineStr">
        <is>
          <t>Kanza</t>
        </is>
      </c>
    </row>
    <row r="162">
      <c r="A162" t="n">
        <v>2025</v>
      </c>
      <c r="B162" t="inlineStr">
        <is>
          <t>Destiny HC</t>
        </is>
      </c>
      <c r="C162" s="2" t="n">
        <v>350.63</v>
      </c>
      <c r="D162" t="inlineStr">
        <is>
          <t>Chemical</t>
        </is>
      </c>
      <c r="E162" t="inlineStr">
        <is>
          <t>Kanza</t>
        </is>
      </c>
    </row>
    <row r="163">
      <c r="A163" t="n">
        <v>2025</v>
      </c>
      <c r="B163" t="inlineStr">
        <is>
          <t>Huskie</t>
        </is>
      </c>
      <c r="C163" s="2" t="n">
        <v>2010</v>
      </c>
      <c r="D163" t="inlineStr">
        <is>
          <t>Chemical</t>
        </is>
      </c>
      <c r="E163" t="inlineStr">
        <is>
          <t>Kanza</t>
        </is>
      </c>
    </row>
    <row r="164">
      <c r="A164" t="n">
        <v>2025</v>
      </c>
      <c r="B164" t="inlineStr">
        <is>
          <t>Sivanto Prime</t>
        </is>
      </c>
      <c r="C164" s="2" t="n">
        <v>1910</v>
      </c>
      <c r="D164" t="inlineStr">
        <is>
          <t>Chemical</t>
        </is>
      </c>
      <c r="E164" t="inlineStr">
        <is>
          <t>Kanza</t>
        </is>
      </c>
    </row>
    <row r="165">
      <c r="A165" t="n">
        <v>2025</v>
      </c>
      <c r="B165" t="inlineStr">
        <is>
          <t>Cidewinder</t>
        </is>
      </c>
      <c r="C165" s="2" t="n">
        <v>160.34</v>
      </c>
      <c r="D165" t="inlineStr">
        <is>
          <t>Chemical</t>
        </is>
      </c>
      <c r="E165" t="inlineStr">
        <is>
          <t>Kanza</t>
        </is>
      </c>
    </row>
    <row r="166">
      <c r="A166" t="n">
        <v>2025</v>
      </c>
      <c r="B166" t="inlineStr">
        <is>
          <t>DKC104-08RIB</t>
        </is>
      </c>
      <c r="C166" s="2" t="n">
        <v>299.89</v>
      </c>
      <c r="D166" t="inlineStr">
        <is>
          <t>Seed</t>
        </is>
      </c>
      <c r="E166" t="inlineStr">
        <is>
          <t>Kanza</t>
        </is>
      </c>
    </row>
    <row r="167">
      <c r="A167" t="n">
        <v>2025</v>
      </c>
      <c r="B167" t="inlineStr">
        <is>
          <t>Magnum LDP Hybrid FS Safened</t>
        </is>
      </c>
      <c r="C167" s="2" t="n">
        <v>564</v>
      </c>
      <c r="D167" t="inlineStr">
        <is>
          <t>Seed</t>
        </is>
      </c>
      <c r="E167" t="inlineStr">
        <is>
          <t>Kanza</t>
        </is>
      </c>
    </row>
    <row r="168">
      <c r="A168" t="n">
        <v>2025</v>
      </c>
      <c r="B168" t="inlineStr">
        <is>
          <t>Excel II Hybrid Saf Sorghum/Sudan</t>
        </is>
      </c>
      <c r="C168" s="2" t="n">
        <v>920</v>
      </c>
      <c r="D168" t="inlineStr">
        <is>
          <t>Seed</t>
        </is>
      </c>
      <c r="E168" t="inlineStr">
        <is>
          <t>Kanza</t>
        </is>
      </c>
    </row>
  </sheetData>
  <autoFilter ref="A1:F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3" t="inlineStr">
        <is>
          <t>Product</t>
        </is>
      </c>
      <c r="B1" s="3" t="inlineStr">
        <is>
          <t>Category</t>
        </is>
      </c>
      <c r="C1" s="4" t="inlineStr">
        <is>
          <t>2025 Cost</t>
        </is>
      </c>
      <c r="D1" s="4" t="inlineStr">
        <is>
          <t>2026 Cost</t>
        </is>
      </c>
      <c r="E1" s="4" t="inlineStr">
        <is>
          <t>Change ($)</t>
        </is>
      </c>
      <c r="F1" s="4" t="inlineStr">
        <is>
          <t>Change (%)</t>
        </is>
      </c>
    </row>
    <row r="2">
      <c r="A2" s="5" t="inlineStr">
        <is>
          <t>32-0-0</t>
        </is>
      </c>
      <c r="B2" s="5" t="inlineStr">
        <is>
          <t>Fertilizer</t>
        </is>
      </c>
      <c r="C2" s="6" t="n">
        <v>25753.05</v>
      </c>
      <c r="D2" s="6" t="n">
        <v>79435.83</v>
      </c>
      <c r="E2" s="6" t="n">
        <v>53682.78</v>
      </c>
      <c r="F2" s="7" t="n">
        <v>2.084521250880964</v>
      </c>
    </row>
    <row r="3">
      <c r="A3" s="5" t="inlineStr">
        <is>
          <t>10-34-0</t>
        </is>
      </c>
      <c r="B3" s="5" t="inlineStr">
        <is>
          <t>Fertilizer</t>
        </is>
      </c>
      <c r="C3" s="5" t="n"/>
      <c r="D3" s="6" t="n">
        <v>8687.26</v>
      </c>
      <c r="E3" s="5" t="n"/>
      <c r="F3" s="5" t="n"/>
    </row>
    <row r="4">
      <c r="A4" s="5" t="inlineStr">
        <is>
          <t>Humic</t>
        </is>
      </c>
      <c r="B4" s="5" t="inlineStr">
        <is>
          <t>Fertilizer</t>
        </is>
      </c>
      <c r="C4" s="5" t="n"/>
      <c r="D4" s="6" t="n">
        <v>8178.38</v>
      </c>
      <c r="E4" s="5" t="n"/>
      <c r="F4" s="5" t="n"/>
    </row>
    <row r="5">
      <c r="A5" s="5" t="inlineStr">
        <is>
          <t>12-0-0-26 Thio-Sul</t>
        </is>
      </c>
      <c r="B5" s="5" t="inlineStr">
        <is>
          <t>Fertilizer</t>
        </is>
      </c>
      <c r="C5" s="6" t="n">
        <v>3607.07</v>
      </c>
      <c r="D5" s="6" t="n">
        <v>7311.77</v>
      </c>
      <c r="E5" s="6" t="n">
        <v>3704.7</v>
      </c>
      <c r="F5" s="7" t="n">
        <v>1.027066289259704</v>
      </c>
    </row>
    <row r="6">
      <c r="A6" s="5" t="inlineStr">
        <is>
          <t>IVC Zinc 10%</t>
        </is>
      </c>
      <c r="B6" s="5" t="inlineStr">
        <is>
          <t>Fertilizer</t>
        </is>
      </c>
      <c r="C6" s="5" t="n"/>
      <c r="D6" s="6" t="n">
        <v>937.5</v>
      </c>
      <c r="E6" s="5" t="n"/>
      <c r="F6" s="5" t="n"/>
    </row>
    <row r="7">
      <c r="A7" s="5" t="inlineStr">
        <is>
          <t>GLYPEX 5 extra</t>
        </is>
      </c>
      <c r="B7" s="5" t="inlineStr">
        <is>
          <t>Chemical</t>
        </is>
      </c>
      <c r="C7" s="5" t="n"/>
      <c r="D7" s="6" t="n">
        <v>11000</v>
      </c>
      <c r="E7" s="5" t="n"/>
      <c r="F7" s="5" t="n"/>
    </row>
    <row r="8">
      <c r="A8" s="5" t="inlineStr">
        <is>
          <t>Paraquat</t>
        </is>
      </c>
      <c r="B8" s="5" t="inlineStr">
        <is>
          <t>Chemical</t>
        </is>
      </c>
      <c r="C8" s="5" t="n"/>
      <c r="D8" s="6" t="n">
        <v>6153.75</v>
      </c>
      <c r="E8" s="5" t="n"/>
      <c r="F8" s="5" t="n"/>
    </row>
    <row r="9">
      <c r="A9" s="5" t="inlineStr">
        <is>
          <t>AMS</t>
        </is>
      </c>
      <c r="B9" s="5" t="inlineStr">
        <is>
          <t>Chemical</t>
        </is>
      </c>
      <c r="C9" s="6" t="n">
        <v>61.2</v>
      </c>
      <c r="D9" s="6" t="n">
        <v>5263.2</v>
      </c>
      <c r="E9" s="6" t="n">
        <v>5202</v>
      </c>
      <c r="F9" s="7" t="n">
        <v>85.00000000000001</v>
      </c>
    </row>
    <row r="10">
      <c r="A10" s="5" t="inlineStr">
        <is>
          <t>Corsican</t>
        </is>
      </c>
      <c r="B10" s="5" t="inlineStr">
        <is>
          <t>Chemical</t>
        </is>
      </c>
      <c r="C10" s="5" t="n"/>
      <c r="D10" s="6" t="n">
        <v>4690</v>
      </c>
      <c r="E10" s="5" t="n"/>
      <c r="F10" s="5" t="n"/>
    </row>
    <row r="11">
      <c r="A11" s="5" t="inlineStr">
        <is>
          <t>Hot Mes</t>
        </is>
      </c>
      <c r="B11" s="5" t="inlineStr">
        <is>
          <t>Chemical</t>
        </is>
      </c>
      <c r="C11" s="5" t="n"/>
      <c r="D11" s="6" t="n">
        <v>4400</v>
      </c>
      <c r="E11" s="5" t="n"/>
      <c r="F11" s="5" t="n"/>
    </row>
    <row r="12">
      <c r="A12" s="5" t="inlineStr">
        <is>
          <t>Metolachlor</t>
        </is>
      </c>
      <c r="B12" s="5" t="inlineStr">
        <is>
          <t>Chemical</t>
        </is>
      </c>
      <c r="C12" s="5" t="n"/>
      <c r="D12" s="6" t="n">
        <v>4020</v>
      </c>
      <c r="E12" s="5" t="n"/>
      <c r="F12" s="5" t="n"/>
    </row>
    <row r="13">
      <c r="A13" s="5" t="inlineStr">
        <is>
          <t>Atrazine 4L</t>
        </is>
      </c>
      <c r="B13" s="5" t="inlineStr">
        <is>
          <t>Chemical</t>
        </is>
      </c>
      <c r="C13" s="5" t="n"/>
      <c r="D13" s="6" t="n">
        <v>3442.5</v>
      </c>
      <c r="E13" s="5" t="n"/>
      <c r="F13" s="5" t="n"/>
    </row>
    <row r="14">
      <c r="A14" s="5" t="inlineStr">
        <is>
          <t>Laudis</t>
        </is>
      </c>
      <c r="B14" s="5" t="inlineStr">
        <is>
          <t>Chemical</t>
        </is>
      </c>
      <c r="C14" s="5" t="n"/>
      <c r="D14" s="6" t="n">
        <v>2785</v>
      </c>
      <c r="E14" s="5" t="n"/>
      <c r="F14" s="5" t="n"/>
    </row>
    <row r="15">
      <c r="A15" s="5" t="inlineStr">
        <is>
          <t>Verdict</t>
        </is>
      </c>
      <c r="B15" s="5" t="inlineStr">
        <is>
          <t>Chemical</t>
        </is>
      </c>
      <c r="C15" s="5" t="n"/>
      <c r="D15" s="6" t="n">
        <v>2680</v>
      </c>
      <c r="E15" s="5" t="n"/>
      <c r="F15" s="5" t="n"/>
    </row>
    <row r="16">
      <c r="A16" s="5" t="inlineStr">
        <is>
          <t>Race/sharpen</t>
        </is>
      </c>
      <c r="B16" s="5" t="inlineStr">
        <is>
          <t>Chemical</t>
        </is>
      </c>
      <c r="C16" s="5" t="n"/>
      <c r="D16" s="6" t="n">
        <v>2500</v>
      </c>
      <c r="E16" s="5" t="n"/>
      <c r="F16" s="5" t="n"/>
    </row>
    <row r="17">
      <c r="A17" s="5" t="inlineStr">
        <is>
          <t>TIDE FLUMI 44% SC</t>
        </is>
      </c>
      <c r="B17" s="5" t="inlineStr">
        <is>
          <t>Chemical</t>
        </is>
      </c>
      <c r="C17" s="5" t="n"/>
      <c r="D17" s="6" t="n">
        <v>2475</v>
      </c>
      <c r="E17" s="5" t="n"/>
      <c r="F17" s="5" t="n"/>
    </row>
    <row r="18">
      <c r="A18" s="5" t="inlineStr">
        <is>
          <t>Glufosinate</t>
        </is>
      </c>
      <c r="B18" s="5" t="inlineStr">
        <is>
          <t>Chemical</t>
        </is>
      </c>
      <c r="C18" s="5" t="n"/>
      <c r="D18" s="6" t="n">
        <v>2025</v>
      </c>
      <c r="E18" s="5" t="n"/>
      <c r="F18" s="5" t="n"/>
    </row>
    <row r="19">
      <c r="A19" s="5" t="inlineStr">
        <is>
          <t>Huskie</t>
        </is>
      </c>
      <c r="B19" s="5" t="inlineStr">
        <is>
          <t>Chemical</t>
        </is>
      </c>
      <c r="C19" s="6" t="n">
        <v>2010</v>
      </c>
      <c r="D19" s="5" t="n"/>
      <c r="E19" s="5" t="n"/>
      <c r="F19" s="5" t="n"/>
    </row>
    <row r="20">
      <c r="A20" s="5" t="inlineStr">
        <is>
          <t>Sivanto Prime</t>
        </is>
      </c>
      <c r="B20" s="5" t="inlineStr">
        <is>
          <t>Chemical</t>
        </is>
      </c>
      <c r="C20" s="6" t="n">
        <v>1910</v>
      </c>
      <c r="D20" s="5" t="n"/>
      <c r="E20" s="5" t="n"/>
      <c r="F20" s="5" t="n"/>
    </row>
    <row r="21">
      <c r="A21" s="5" t="inlineStr">
        <is>
          <t>Rancor 75df/metribuzin</t>
        </is>
      </c>
      <c r="B21" s="5" t="inlineStr">
        <is>
          <t>Chemical</t>
        </is>
      </c>
      <c r="C21" s="5" t="n"/>
      <c r="D21" s="6" t="n">
        <v>1511.25</v>
      </c>
      <c r="E21" s="5" t="n"/>
      <c r="F21" s="5" t="n"/>
    </row>
    <row r="22">
      <c r="A22" s="5" t="inlineStr">
        <is>
          <t>Status</t>
        </is>
      </c>
      <c r="B22" s="5" t="inlineStr">
        <is>
          <t>Chemical</t>
        </is>
      </c>
      <c r="C22" s="5" t="n"/>
      <c r="D22" s="6" t="n">
        <v>1125</v>
      </c>
      <c r="E22" s="5" t="n"/>
      <c r="F22" s="5" t="n"/>
    </row>
    <row r="23">
      <c r="A23" s="5" t="inlineStr">
        <is>
          <t>Trevo P</t>
        </is>
      </c>
      <c r="B23" s="5" t="inlineStr">
        <is>
          <t>Chemical</t>
        </is>
      </c>
      <c r="C23" s="6" t="n">
        <v>975</v>
      </c>
      <c r="D23" s="5" t="n"/>
      <c r="E23" s="5" t="n"/>
      <c r="F23" s="5" t="n"/>
    </row>
    <row r="24">
      <c r="A24" s="5" t="inlineStr">
        <is>
          <t>MCPE</t>
        </is>
      </c>
      <c r="B24" s="5" t="inlineStr">
        <is>
          <t>Chemical</t>
        </is>
      </c>
      <c r="C24" s="5" t="n"/>
      <c r="D24" s="6" t="n">
        <v>955.63</v>
      </c>
      <c r="E24" s="5" t="n"/>
      <c r="F24" s="5" t="n"/>
    </row>
    <row r="25">
      <c r="A25" s="5" t="inlineStr">
        <is>
          <t>Firezone</t>
        </is>
      </c>
      <c r="B25" s="5" t="inlineStr">
        <is>
          <t>Chemical</t>
        </is>
      </c>
      <c r="C25" s="6" t="n">
        <v>885</v>
      </c>
      <c r="D25" s="5" t="n"/>
      <c r="E25" s="5" t="n"/>
      <c r="F25" s="5" t="n"/>
    </row>
    <row r="26">
      <c r="A26" s="5" t="inlineStr">
        <is>
          <t>Mesotrione</t>
        </is>
      </c>
      <c r="B26" s="5" t="inlineStr">
        <is>
          <t>Chemical</t>
        </is>
      </c>
      <c r="C26" s="5" t="n"/>
      <c r="D26" s="6" t="n">
        <v>882</v>
      </c>
      <c r="E26" s="5" t="n"/>
      <c r="F26" s="5" t="n"/>
    </row>
    <row r="27">
      <c r="A27" s="5" t="inlineStr">
        <is>
          <t>Sterling Blue</t>
        </is>
      </c>
      <c r="B27" s="5" t="inlineStr">
        <is>
          <t>Chemical</t>
        </is>
      </c>
      <c r="C27" s="5" t="n"/>
      <c r="D27" s="6" t="n">
        <v>860</v>
      </c>
      <c r="E27" s="5" t="n"/>
      <c r="F27" s="5" t="n"/>
    </row>
    <row r="28">
      <c r="A28" s="5" t="inlineStr">
        <is>
          <t>Interlock</t>
        </is>
      </c>
      <c r="B28" s="5" t="inlineStr">
        <is>
          <t>Chemical</t>
        </is>
      </c>
      <c r="C28" s="6" t="n">
        <v>640</v>
      </c>
      <c r="D28" s="5" t="n"/>
      <c r="E28" s="5" t="n"/>
      <c r="F28" s="5" t="n"/>
    </row>
    <row r="29">
      <c r="A29" s="5" t="inlineStr">
        <is>
          <t>Destiny HC</t>
        </is>
      </c>
      <c r="B29" s="5" t="inlineStr">
        <is>
          <t>Chemical</t>
        </is>
      </c>
      <c r="C29" s="6" t="n">
        <v>350.63</v>
      </c>
      <c r="D29" s="5" t="n"/>
      <c r="E29" s="5" t="n"/>
      <c r="F29" s="5" t="n"/>
    </row>
    <row r="30">
      <c r="A30" s="5" t="inlineStr">
        <is>
          <t>Preference</t>
        </is>
      </c>
      <c r="B30" s="5" t="inlineStr">
        <is>
          <t>Chemical</t>
        </is>
      </c>
      <c r="C30" s="6" t="n">
        <v>484.38</v>
      </c>
      <c r="D30" s="6" t="n">
        <v>268.13</v>
      </c>
      <c r="E30" s="6" t="n">
        <v>-216.25</v>
      </c>
      <c r="F30" s="7" t="n">
        <v>-0.4464470044180189</v>
      </c>
    </row>
    <row r="31">
      <c r="A31" s="5" t="inlineStr">
        <is>
          <t>Atarrus</t>
        </is>
      </c>
      <c r="B31" s="5" t="inlineStr">
        <is>
          <t>Chemical</t>
        </is>
      </c>
      <c r="C31" s="5" t="n"/>
      <c r="D31" s="6" t="n">
        <v>187.96</v>
      </c>
      <c r="E31" s="5" t="n"/>
      <c r="F31" s="5" t="n"/>
    </row>
    <row r="32">
      <c r="A32" s="5" t="inlineStr">
        <is>
          <t>Cidewinder</t>
        </is>
      </c>
      <c r="B32" s="5" t="inlineStr">
        <is>
          <t>Chemical</t>
        </is>
      </c>
      <c r="C32" s="6" t="n">
        <v>160.34</v>
      </c>
      <c r="D32" s="5" t="n"/>
      <c r="E32" s="5" t="n"/>
      <c r="F32" s="5" t="n"/>
    </row>
    <row r="33">
      <c r="A33" s="5" t="inlineStr">
        <is>
          <t>Tempus 90/10 PREF</t>
        </is>
      </c>
      <c r="B33" s="5" t="inlineStr">
        <is>
          <t>Chemical</t>
        </is>
      </c>
      <c r="C33" s="5" t="n"/>
      <c r="D33" s="6" t="n">
        <v>125.63</v>
      </c>
      <c r="E33" s="5" t="n"/>
      <c r="F33" s="5" t="n"/>
    </row>
    <row r="34">
      <c r="A34" s="5" t="inlineStr">
        <is>
          <t>AG42XF1</t>
        </is>
      </c>
      <c r="B34" s="5" t="inlineStr">
        <is>
          <t>Seed</t>
        </is>
      </c>
      <c r="C34" s="5" t="n"/>
      <c r="D34" s="6" t="n">
        <v>8964</v>
      </c>
      <c r="E34" s="5" t="n"/>
      <c r="F34" s="5" t="n"/>
    </row>
    <row r="35">
      <c r="A35" s="5" t="inlineStr">
        <is>
          <t>DKC114-43RIB</t>
        </is>
      </c>
      <c r="B35" s="5" t="inlineStr">
        <is>
          <t>Seed</t>
        </is>
      </c>
      <c r="C35" s="5" t="n"/>
      <c r="D35" s="6" t="n">
        <v>5059.52</v>
      </c>
      <c r="E35" s="5" t="n"/>
      <c r="F35" s="5" t="n"/>
    </row>
    <row r="36">
      <c r="A36" s="5" t="inlineStr">
        <is>
          <t>DKC104-08RIB</t>
        </is>
      </c>
      <c r="B36" s="5" t="inlineStr">
        <is>
          <t>Seed</t>
        </is>
      </c>
      <c r="C36" s="6" t="n">
        <v>299.89</v>
      </c>
      <c r="D36" s="6" t="n">
        <v>4463.84</v>
      </c>
      <c r="E36" s="6" t="n">
        <v>4163.95</v>
      </c>
      <c r="F36" s="7" t="n">
        <v>13.88492447230651</v>
      </c>
    </row>
    <row r="37">
      <c r="A37" s="5" t="inlineStr">
        <is>
          <t>DKC64-25</t>
        </is>
      </c>
      <c r="B37" s="5" t="inlineStr">
        <is>
          <t>Seed</t>
        </is>
      </c>
      <c r="C37" s="6" t="n">
        <v>2004.8</v>
      </c>
      <c r="D37" s="6" t="n">
        <v>3934.4</v>
      </c>
      <c r="E37" s="6" t="n">
        <v>1929.6</v>
      </c>
      <c r="F37" s="7" t="n">
        <v>0.962490023942538</v>
      </c>
    </row>
    <row r="38">
      <c r="A38" s="5" t="inlineStr">
        <is>
          <t>DKC61-80RIB</t>
        </is>
      </c>
      <c r="B38" s="5" t="inlineStr">
        <is>
          <t>Seed</t>
        </is>
      </c>
      <c r="C38" s="5" t="n"/>
      <c r="D38" s="6" t="n">
        <v>3868.32</v>
      </c>
      <c r="E38" s="5" t="n"/>
      <c r="F38" s="5" t="n"/>
    </row>
    <row r="39">
      <c r="A39" s="5" t="inlineStr">
        <is>
          <t>DKC63-55RIB</t>
        </is>
      </c>
      <c r="B39" s="5" t="inlineStr">
        <is>
          <t>Seed</t>
        </is>
      </c>
      <c r="C39" s="6" t="n">
        <v>225.76</v>
      </c>
      <c r="D39" s="6" t="n">
        <v>3298.32</v>
      </c>
      <c r="E39" s="6" t="n">
        <v>3072.56</v>
      </c>
      <c r="F39" s="7" t="n">
        <v>13.60985116938342</v>
      </c>
    </row>
    <row r="40">
      <c r="A40" s="5" t="inlineStr">
        <is>
          <t>DKS44-07</t>
        </is>
      </c>
      <c r="B40" s="5" t="inlineStr">
        <is>
          <t>Seed</t>
        </is>
      </c>
      <c r="C40" s="6" t="n">
        <v>177.85</v>
      </c>
      <c r="D40" s="6" t="n">
        <v>2858.88</v>
      </c>
      <c r="E40" s="6" t="n">
        <v>2681.03</v>
      </c>
      <c r="F40" s="7" t="n">
        <v>15.07466966544841</v>
      </c>
    </row>
    <row r="41">
      <c r="A41" s="5" t="inlineStr">
        <is>
          <t>CP 225WRR</t>
        </is>
      </c>
      <c r="B41" s="5" t="inlineStr">
        <is>
          <t>Seed</t>
        </is>
      </c>
      <c r="C41" s="6" t="n">
        <v>2395</v>
      </c>
      <c r="D41" s="5" t="n"/>
      <c r="E41" s="5" t="n"/>
      <c r="F41" s="5" t="n"/>
    </row>
    <row r="42">
      <c r="A42" s="5" t="inlineStr">
        <is>
          <t>AG46XF2</t>
        </is>
      </c>
      <c r="B42" s="5" t="inlineStr">
        <is>
          <t>Seed</t>
        </is>
      </c>
      <c r="C42" s="5" t="n"/>
      <c r="D42" s="6" t="n">
        <v>1792.8</v>
      </c>
      <c r="E42" s="5" t="n"/>
      <c r="F42" s="5" t="n"/>
    </row>
    <row r="43">
      <c r="A43" s="5" t="inlineStr">
        <is>
          <t>Excel II Hybrid Saf Sorghum/Sudan</t>
        </is>
      </c>
      <c r="B43" s="5" t="inlineStr">
        <is>
          <t>Seed</t>
        </is>
      </c>
      <c r="C43" s="6" t="n">
        <v>920</v>
      </c>
      <c r="D43" s="5" t="n"/>
      <c r="E43" s="5" t="n"/>
      <c r="F43" s="5" t="n"/>
    </row>
    <row r="44">
      <c r="A44" s="5" t="inlineStr">
        <is>
          <t>Primo R1 SM inoculant</t>
        </is>
      </c>
      <c r="B44" s="5" t="inlineStr">
        <is>
          <t>Seed</t>
        </is>
      </c>
      <c r="C44" s="5" t="n"/>
      <c r="D44" s="6" t="n">
        <v>900</v>
      </c>
      <c r="E44" s="5" t="n"/>
      <c r="F44" s="5" t="n"/>
    </row>
    <row r="45">
      <c r="A45" s="5" t="inlineStr">
        <is>
          <t>Magnum LDP Hybrid FS Safened</t>
        </is>
      </c>
      <c r="B45" s="5" t="inlineStr">
        <is>
          <t>Seed</t>
        </is>
      </c>
      <c r="C45" s="6" t="n">
        <v>564</v>
      </c>
      <c r="D45" s="5" t="n"/>
      <c r="E45" s="5" t="n"/>
      <c r="F45" s="5" t="n"/>
    </row>
    <row r="46">
      <c r="A46" s="5" t="inlineStr">
        <is>
          <t>DKC57-23RIB</t>
        </is>
      </c>
      <c r="B46" s="5" t="inlineStr">
        <is>
          <t>Seed</t>
        </is>
      </c>
      <c r="C46" s="6" t="n">
        <v>259.63</v>
      </c>
      <c r="D46" s="5" t="n"/>
      <c r="E46" s="5" t="n"/>
      <c r="F46" s="5" t="n"/>
    </row>
    <row r="47">
      <c r="A47" s="5" t="inlineStr">
        <is>
          <t>DKS36-07</t>
        </is>
      </c>
      <c r="B47" s="5" t="inlineStr">
        <is>
          <t>Seed</t>
        </is>
      </c>
      <c r="C47" s="6" t="n">
        <v>172.06</v>
      </c>
      <c r="D47" s="5" t="n"/>
      <c r="E47" s="5" t="n"/>
      <c r="F47" s="5" t="n"/>
    </row>
    <row r="48">
      <c r="A48" s="5" t="inlineStr">
        <is>
          <t>DKS54-07</t>
        </is>
      </c>
      <c r="B48" s="5" t="inlineStr">
        <is>
          <t>Seed</t>
        </is>
      </c>
      <c r="C48" s="6" t="n">
        <v>172.06</v>
      </c>
      <c r="D48" s="5" t="n"/>
      <c r="E48" s="5" t="n"/>
      <c r="F48" s="5" t="n"/>
    </row>
    <row r="49">
      <c r="A49" s="8" t="inlineStr">
        <is>
          <t>TOTAL</t>
        </is>
      </c>
      <c r="B49" s="8" t="n"/>
      <c r="C49" s="9">
        <f>SUM(C2:C48)</f>
        <v/>
      </c>
      <c r="D49" s="9">
        <f>SUM(D2:D48)</f>
        <v/>
      </c>
      <c r="E49" s="9">
        <f>D49-C49</f>
        <v/>
      </c>
      <c r="F49" s="10">
        <f>IF(C49=0,"",(D49-C49)/C49)</f>
        <v/>
      </c>
    </row>
    <row r="51">
      <c r="A51" s="11" t="inlineStr">
        <is>
          <t>NOT COMPARABLE YEAR-OVER-YEAR:</t>
        </is>
      </c>
    </row>
    <row r="52">
      <c r="A52" t="inlineStr">
        <is>
          <t>2025 figures are Kanza only. 2026 figures cover FBN, FCE, Kanza, Sims, Mom &amp; Dad and Tyree Ag.</t>
        </is>
      </c>
    </row>
    <row r="53">
      <c r="A53" t="inlineStr">
        <is>
          <t>A product bought from Kanza in 2025 and Sims in 2026 will look like a huge increase when it is not.</t>
        </is>
      </c>
    </row>
    <row r="54">
      <c r="A54" t="inlineStr">
        <is>
          <t>Excluded from both years: fuel, feed, finance/credit-card charges, fertilizer tonnage tax, aerial application, hardware.</t>
        </is>
      </c>
    </row>
    <row r="55">
      <c r="A55" t="inlineStr">
        <is>
          <t>Also excluded: Kanza Dec-2025 prepaid of $30,485.33 for 2026 inputs (statement carried no itemization).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 outlineLevelRow="0"/>
  <cols>
    <col width="45" customWidth="1" min="1" max="1"/>
  </cols>
  <sheetData>
    <row r="1">
      <c r="A1" s="1" t="inlineStr">
        <is>
          <t>Type this exactly into the Category column</t>
        </is>
      </c>
    </row>
    <row r="2">
      <c r="A2" t="inlineStr">
        <is>
          <t>Agco (Expense)</t>
        </is>
      </c>
    </row>
    <row r="3">
      <c r="A3" t="inlineStr">
        <is>
          <t>Agco (Income)</t>
        </is>
      </c>
    </row>
    <row r="4">
      <c r="A4" t="inlineStr">
        <is>
          <t>Chemical</t>
        </is>
      </c>
    </row>
    <row r="5">
      <c r="A5" t="inlineStr">
        <is>
          <t>Conservation</t>
        </is>
      </c>
    </row>
    <row r="6">
      <c r="A6" t="inlineStr">
        <is>
          <t>Custom Work</t>
        </is>
      </c>
    </row>
    <row r="7">
      <c r="A7" t="inlineStr">
        <is>
          <t>Drying</t>
        </is>
      </c>
    </row>
    <row r="8">
      <c r="A8" t="inlineStr">
        <is>
          <t>Employee Benefits</t>
        </is>
      </c>
    </row>
    <row r="9">
      <c r="A9" t="inlineStr">
        <is>
          <t>Equipment Rent/Lease</t>
        </is>
      </c>
    </row>
    <row r="10">
      <c r="A10" t="inlineStr">
        <is>
          <t>FCE (Expense)</t>
        </is>
      </c>
    </row>
    <row r="11">
      <c r="A11" t="inlineStr">
        <is>
          <t>FCE (Income)</t>
        </is>
      </c>
    </row>
    <row r="12">
      <c r="A12" t="inlineStr">
        <is>
          <t>Feed</t>
        </is>
      </c>
    </row>
    <row r="13">
      <c r="A13" t="inlineStr">
        <is>
          <t>Fertilizer</t>
        </is>
      </c>
    </row>
    <row r="14">
      <c r="A14" t="inlineStr">
        <is>
          <t>Fuel</t>
        </is>
      </c>
    </row>
    <row r="15">
      <c r="A15" t="inlineStr">
        <is>
          <t>Gift Given</t>
        </is>
      </c>
    </row>
    <row r="16">
      <c r="A16" t="inlineStr">
        <is>
          <t>Gift Received</t>
        </is>
      </c>
    </row>
    <row r="17">
      <c r="A17" t="inlineStr">
        <is>
          <t>Harvest</t>
        </is>
      </c>
    </row>
    <row r="18">
      <c r="A18" t="inlineStr">
        <is>
          <t>House Project: Purchase Price</t>
        </is>
      </c>
    </row>
    <row r="19">
      <c r="A19" t="inlineStr">
        <is>
          <t>House Project: Rehab / Materials</t>
        </is>
      </c>
    </row>
    <row r="20">
      <c r="A20" t="inlineStr">
        <is>
          <t>House Project: Sale Proceeds</t>
        </is>
      </c>
    </row>
    <row r="21">
      <c r="A21" t="inlineStr">
        <is>
          <t>House Project: Selling Costs</t>
        </is>
      </c>
    </row>
    <row r="22">
      <c r="A22" t="inlineStr">
        <is>
          <t>Insurance</t>
        </is>
      </c>
    </row>
    <row r="23">
      <c r="A23" t="inlineStr">
        <is>
          <t>Interest — Mortgage</t>
        </is>
      </c>
    </row>
    <row r="24">
      <c r="A24" t="inlineStr">
        <is>
          <t>Interest — Other</t>
        </is>
      </c>
    </row>
    <row r="25">
      <c r="A25" t="inlineStr">
        <is>
          <t>Kanza (Expense)</t>
        </is>
      </c>
    </row>
    <row r="26">
      <c r="A26" t="inlineStr">
        <is>
          <t>Kanza (Income)</t>
        </is>
      </c>
    </row>
    <row r="27">
      <c r="A27" t="inlineStr">
        <is>
          <t>Labor</t>
        </is>
      </c>
    </row>
    <row r="28">
      <c r="A28" t="inlineStr">
        <is>
          <t>Livestock Purchased</t>
        </is>
      </c>
    </row>
    <row r="29">
      <c r="A29" t="inlineStr">
        <is>
          <t>Livestock Sold</t>
        </is>
      </c>
    </row>
    <row r="30">
      <c r="A30" t="inlineStr">
        <is>
          <t>Loan Principal Payment</t>
        </is>
      </c>
    </row>
    <row r="31">
      <c r="A31" t="inlineStr">
        <is>
          <t>Loan Proceeds Received</t>
        </is>
      </c>
    </row>
    <row r="32">
      <c r="A32" t="inlineStr">
        <is>
          <t>Other</t>
        </is>
      </c>
    </row>
    <row r="33">
      <c r="A33" t="inlineStr">
        <is>
          <t>Pension &amp; Profit-Sharing</t>
        </is>
      </c>
    </row>
    <row r="34">
      <c r="A34" t="inlineStr">
        <is>
          <t>Personal / Excluded</t>
        </is>
      </c>
    </row>
    <row r="35">
      <c r="A35" t="inlineStr">
        <is>
          <t>Program Payment</t>
        </is>
      </c>
    </row>
    <row r="36">
      <c r="A36" t="inlineStr">
        <is>
          <t>Rent</t>
        </is>
      </c>
    </row>
    <row r="37">
      <c r="A37" t="inlineStr">
        <is>
          <t>Repairs &amp; Maintenance</t>
        </is>
      </c>
    </row>
    <row r="38">
      <c r="A38" t="inlineStr">
        <is>
          <t>Royalty: Lease Bonus / Delay Rental</t>
        </is>
      </c>
    </row>
    <row r="39">
      <c r="A39" t="inlineStr">
        <is>
          <t>Royalty: Mineral Income</t>
        </is>
      </c>
    </row>
    <row r="40">
      <c r="A40" t="inlineStr">
        <is>
          <t>Royalty: Oil &amp; Gas Income</t>
        </is>
      </c>
    </row>
    <row r="41">
      <c r="A41" t="inlineStr">
        <is>
          <t>Royalty: Related Expenses</t>
        </is>
      </c>
    </row>
    <row r="42">
      <c r="A42" t="inlineStr">
        <is>
          <t>SE: Advertising</t>
        </is>
      </c>
    </row>
    <row r="43">
      <c r="A43" t="inlineStr">
        <is>
          <t>SE: Commissions &amp; Fees</t>
        </is>
      </c>
    </row>
    <row r="44">
      <c r="A44" t="inlineStr">
        <is>
          <t>SE: Contract Labor</t>
        </is>
      </c>
    </row>
    <row r="45">
      <c r="A45" t="inlineStr">
        <is>
          <t>SE: Depreciation</t>
        </is>
      </c>
    </row>
    <row r="46">
      <c r="A46" t="inlineStr">
        <is>
          <t>SE: Equipment Rent/Lease</t>
        </is>
      </c>
    </row>
    <row r="47">
      <c r="A47" t="inlineStr">
        <is>
          <t>SE: Insurance</t>
        </is>
      </c>
    </row>
    <row r="48">
      <c r="A48" t="inlineStr">
        <is>
          <t>SE: Interest</t>
        </is>
      </c>
    </row>
    <row r="49">
      <c r="A49" t="inlineStr">
        <is>
          <t>SE: Legal &amp; Professional</t>
        </is>
      </c>
    </row>
    <row r="50">
      <c r="A50" t="inlineStr">
        <is>
          <t>SE: Meals</t>
        </is>
      </c>
    </row>
    <row r="51">
      <c r="A51" t="inlineStr">
        <is>
          <t>SE: Office Expense</t>
        </is>
      </c>
    </row>
    <row r="52">
      <c r="A52" t="inlineStr">
        <is>
          <t>SE: Other</t>
        </is>
      </c>
    </row>
    <row r="53">
      <c r="A53" t="inlineStr">
        <is>
          <t>SE: Other Self-Employment Income</t>
        </is>
      </c>
    </row>
    <row r="54">
      <c r="A54" t="inlineStr">
        <is>
          <t>SE: Rent — Other Business Property</t>
        </is>
      </c>
    </row>
    <row r="55">
      <c r="A55" t="inlineStr">
        <is>
          <t>SE: Repairs &amp; Maintenance</t>
        </is>
      </c>
    </row>
    <row r="56">
      <c r="A56" t="inlineStr">
        <is>
          <t>SE: Services / Custom Work Income</t>
        </is>
      </c>
    </row>
    <row r="57">
      <c r="A57" t="inlineStr">
        <is>
          <t>SE: Supplies</t>
        </is>
      </c>
    </row>
    <row r="58">
      <c r="A58" t="inlineStr">
        <is>
          <t>SE: Taxes &amp; Licenses</t>
        </is>
      </c>
    </row>
    <row r="59">
      <c r="A59" t="inlineStr">
        <is>
          <t>SE: Travel</t>
        </is>
      </c>
    </row>
    <row r="60">
      <c r="A60" t="inlineStr">
        <is>
          <t>SE: Utilities</t>
        </is>
      </c>
    </row>
    <row r="61">
      <c r="A61" t="inlineStr">
        <is>
          <t>SE: Vehicle</t>
        </is>
      </c>
    </row>
    <row r="62">
      <c r="A62" t="inlineStr">
        <is>
          <t>SE: Wages</t>
        </is>
      </c>
    </row>
    <row r="63">
      <c r="A63" t="inlineStr">
        <is>
          <t>Seed</t>
        </is>
      </c>
    </row>
    <row r="64">
      <c r="A64" t="inlineStr">
        <is>
          <t>Supplies</t>
        </is>
      </c>
    </row>
    <row r="65">
      <c r="A65" t="inlineStr">
        <is>
          <t>Taxes &amp; Licenses</t>
        </is>
      </c>
    </row>
    <row r="66">
      <c r="A66" t="inlineStr">
        <is>
          <t>Trucking</t>
        </is>
      </c>
    </row>
    <row r="67">
      <c r="A67" t="inlineStr">
        <is>
          <t>Utilities</t>
        </is>
      </c>
    </row>
    <row r="68">
      <c r="A68" t="inlineStr">
        <is>
          <t>Vehicle</t>
        </is>
      </c>
    </row>
    <row r="69">
      <c r="A69" t="inlineStr">
        <is>
          <t>Veterinary &amp; Medicine</t>
        </is>
      </c>
    </row>
    <row r="70">
      <c r="A70" t="inlineStr">
        <is>
          <t>Wages (W-2)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Row="0"/>
  <cols>
    <col width="90" customWidth="1" min="1" max="1"/>
  </cols>
  <sheetData>
    <row r="1">
      <c r="A1" t="inlineStr">
        <is>
          <t>This splits one lump-sum product bill across the fields that actually used it, by their logged activity — the same thing the "Allocate Product Cost" form does, just for many products at once.</t>
        </is>
      </c>
    </row>
    <row r="2">
      <c r="A2" t="inlineStr">
        <is>
          <t>The Year and Product Name columns are already filled in from your actual field activity history — every product/year combo that's been logged and still needs a dollar amount. Just fill in Total Amount, Category, and (optionally) Vendor/Date for each row you want to allocate.</t>
        </is>
      </c>
    </row>
    <row r="3">
      <c r="A3" t="inlineStr">
        <is>
          <t>Don't need to allocate a row right now? Leave its Total Amount blank and it'll be skipped — no need to delete the row.</t>
        </is>
      </c>
    </row>
    <row r="4">
      <c r="A4" t="inlineStr">
        <is>
          <t>Want to allocate something not listed? Add a new row — Product Name just needs to match how it was logged on field activities for that year.</t>
        </is>
      </c>
    </row>
    <row r="5">
      <c r="A5" t="inlineStr">
        <is>
          <t>Category must match a name exactly from the "Categories (reference)" sheet.</t>
        </is>
      </c>
    </row>
    <row r="6">
      <c r="A6" t="inlineStr">
        <is>
          <t>Leave Date blank to file it at Dec 31 of that Year.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2026-09-20T17:08:00Z</dcterms:created>
  <dcterms:modified xmlns:dcterms="http://purl.org/dc/terms/" xmlns:xsi="http://www.w3.org/2001/XMLSchema-instance" xsi:type="dcterms:W3CDTF">2026-09-21T00:21:59Z</dcterms:modified>
  <cp:lastModifiedBy>Unknown</cp:lastModifiedBy>
</cp:coreProperties>
</file>