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900" tabRatio="600" firstSheet="0" activeTab="0" autoFilterDateGrouping="1"/>
  </bookViews>
  <sheets>
    <sheet xmlns:r="http://schemas.openxmlformats.org/officeDocument/2006/relationships" name="Allocate Product Cost" sheetId="1" state="visible" r:id="rId1"/>
    <sheet xmlns:r="http://schemas.openxmlformats.org/officeDocument/2006/relationships" name="Year Comparison" sheetId="2" state="visible" r:id="rId2"/>
    <sheet xmlns:r="http://schemas.openxmlformats.org/officeDocument/2006/relationships" name="Categories (reference)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FCE Fuel &amp; Other (not upload)" sheetId="5" state="visible" r:id="rId5"/>
    <sheet xmlns:r="http://schemas.openxmlformats.org/officeDocument/2006/relationships" name="Read me — changes" sheetId="6" state="visible" r:id="rId6"/>
  </sheets>
  <definedNames>
    <definedName name="_xlnm._FilterDatabase" localSheetId="0" hidden="1">'Allocate Product Cost'!$A$1:$F$66</definedName>
    <definedName name="_xlnm._FilterDatabase" localSheetId="1" hidden="1">'Year Comparison'!$A$1:$F$1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#,##0.####"/>
    <numFmt numFmtId="167" formatCode="&quot;$&quot;#,##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color rgb="FFB00020"/>
      <sz val="11"/>
    </font>
    <font>
      <b val="1"/>
      <color rgb="002F4F2F"/>
    </font>
    <font>
      <b val="1"/>
    </font>
    <font>
      <i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1F3D2E"/>
      </patternFill>
    </fill>
    <fill>
      <patternFill patternType="solid">
        <fgColor rgb="00E8F0E3"/>
      </patternFill>
    </fill>
    <fill>
      <patternFill patternType="solid">
        <fgColor rgb="00FDE5C8"/>
      </patternFill>
    </fill>
    <fill>
      <patternFill patternType="solid">
        <fgColor rgb="00F8D7D7"/>
      </patternFill>
    </fill>
    <fill>
      <patternFill patternType="solid">
        <fgColor rgb="00FFF4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medium">
        <color rgb="FF1F3D2E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2" pivotButton="0" quotePrefix="0" xfId="0"/>
    <xf numFmtId="164" fontId="2" fillId="0" borderId="2" pivotButton="0" quotePrefix="0" xfId="0"/>
    <xf numFmtId="165" fontId="2" fillId="0" borderId="2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166" fontId="0" fillId="0" borderId="0" pivotButton="0" quotePrefix="0" xfId="0"/>
    <xf numFmtId="167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5" fillId="0" borderId="0" pivotButton="0" quotePrefix="0" xfId="0"/>
    <xf numFmtId="164" fontId="5" fillId="0" borderId="0" applyAlignment="1" pivotButton="0" quotePrefix="0" xfId="0">
      <alignment horizontal="left"/>
    </xf>
    <xf numFmtId="0" fontId="6" fillId="0" borderId="0" pivotButton="0" quotePrefix="0" xfId="0"/>
    <xf numFmtId="164" fontId="0" fillId="0" borderId="0" applyAlignment="1" pivotButton="0" quotePrefix="0" xfId="0">
      <alignment horizontal="left"/>
    </xf>
    <xf numFmtId="0" fontId="5" fillId="3" borderId="0" pivotButton="0" quotePrefix="0" xfId="0"/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68" sqref="A59:XFD68"/>
    </sheetView>
  </sheetViews>
  <sheetFormatPr baseColWidth="10" defaultColWidth="8.83203125" defaultRowHeight="15"/>
  <cols>
    <col width="7" customWidth="1" min="1" max="1"/>
    <col width="26" customWidth="1" min="2" max="2"/>
    <col width="13" customWidth="1" min="3" max="3"/>
    <col width="11" customWidth="1" min="4" max="4"/>
    <col width="18" customWidth="1" min="5" max="5"/>
    <col width="13" customWidth="1" min="6" max="6"/>
    <col width="11" customWidth="1" min="7" max="7"/>
    <col width="7" customWidth="1" min="8" max="8"/>
    <col width="13" customWidth="1" min="9" max="9"/>
    <col width="11" customWidth="1" min="10" max="10"/>
    <col width="11" customWidth="1" min="11" max="11"/>
    <col width="58" customWidth="1" min="12" max="12"/>
    <col width="52" customWidth="1" min="13" max="13"/>
  </cols>
  <sheetData>
    <row r="1">
      <c r="A1" s="12" t="inlineStr">
        <is>
          <t>Year</t>
        </is>
      </c>
      <c r="B1" s="12" t="inlineStr">
        <is>
          <t>Product Name</t>
        </is>
      </c>
      <c r="C1" s="12" t="inlineStr">
        <is>
          <t>Total Amount</t>
        </is>
      </c>
      <c r="D1" s="12" t="inlineStr">
        <is>
          <t>Category</t>
        </is>
      </c>
      <c r="E1" s="12" t="inlineStr">
        <is>
          <t>Vendor (optional)</t>
        </is>
      </c>
      <c r="F1" s="12" t="inlineStr">
        <is>
          <t>Date (optional, YYYY-MM-DD)</t>
        </is>
      </c>
      <c r="G1" s="13" t="inlineStr">
        <is>
          <t>Quantity</t>
        </is>
      </c>
      <c r="H1" s="13" t="inlineStr">
        <is>
          <t>Unit</t>
        </is>
      </c>
      <c r="I1" s="13" t="inlineStr">
        <is>
          <t>Price per Unit</t>
        </is>
      </c>
      <c r="J1" s="13" t="inlineStr">
        <is>
          <t>Price per lb</t>
        </is>
      </c>
      <c r="K1" s="13" t="inlineStr">
        <is>
          <t>Price per gal</t>
        </is>
      </c>
      <c r="L1" s="13" t="inlineStr">
        <is>
          <t>Invoice / Source</t>
        </is>
      </c>
      <c r="M1" s="13" t="inlineStr">
        <is>
          <t>Notes</t>
        </is>
      </c>
    </row>
    <row r="2">
      <c r="A2" t="n">
        <v>2026</v>
      </c>
      <c r="B2" t="inlineStr">
        <is>
          <t>10-34-0</t>
        </is>
      </c>
      <c r="C2" s="2" t="n">
        <v>8687.26</v>
      </c>
      <c r="D2" t="inlineStr">
        <is>
          <t>Fertilizer</t>
        </is>
      </c>
      <c r="E2" t="inlineStr">
        <is>
          <t>FCE</t>
        </is>
      </c>
      <c r="F2" t="inlineStr">
        <is>
          <t>2026-07-06</t>
        </is>
      </c>
      <c r="G2" s="14" t="n">
        <v>12.16</v>
      </c>
      <c r="H2" t="inlineStr">
        <is>
          <t>ton</t>
        </is>
      </c>
      <c r="I2" s="2">
        <f>C2/G2</f>
        <v/>
      </c>
      <c r="J2" s="15">
        <f>C2/G2/2000</f>
        <v/>
      </c>
      <c r="K2" s="15">
        <f>J2*11.65</f>
        <v/>
      </c>
      <c r="L2" t="inlineStr">
        <is>
          <t>FCE tk 216171 (6/24, 5.83 t $4,164.88) + order 216498 (7/6, 6.33 t $4,522.38)</t>
        </is>
      </c>
      <c r="M2" t="inlineStr">
        <is>
          <t>Same price both loads (~$714/ton)</t>
        </is>
      </c>
    </row>
    <row r="3">
      <c r="A3" t="n">
        <v>2026</v>
      </c>
      <c r="B3" t="inlineStr">
        <is>
          <t>104-08</t>
        </is>
      </c>
      <c r="C3" s="2" t="n">
        <v>4463.84</v>
      </c>
      <c r="D3" t="inlineStr">
        <is>
          <t>Seed</t>
        </is>
      </c>
      <c r="E3" t="inlineStr">
        <is>
          <t>Kanza</t>
        </is>
      </c>
      <c r="F3" t="inlineStr">
        <is>
          <t>2026-04-22</t>
        </is>
      </c>
      <c r="G3" s="14" t="n">
        <v>16</v>
      </c>
      <c r="H3" t="inlineStr">
        <is>
          <t>bag</t>
        </is>
      </c>
      <c r="I3" s="2">
        <f>C3/G3</f>
        <v/>
      </c>
      <c r="L3" t="inlineStr">
        <is>
          <t>Kanza inv 1643953-013 (4/22) DKC104-08RIB</t>
        </is>
      </c>
      <c r="M3" t="inlineStr">
        <is>
          <t>$360/bag less volume, cash &amp; Bayer LCR $20/bag discounts</t>
        </is>
      </c>
    </row>
    <row r="4">
      <c r="A4" t="n">
        <v>2026</v>
      </c>
      <c r="B4" t="inlineStr">
        <is>
          <t>104-08 (Dekalb)</t>
        </is>
      </c>
      <c r="C4" s="2" t="n"/>
    </row>
    <row r="5">
      <c r="A5" t="n">
        <v>2026</v>
      </c>
      <c r="B5" t="inlineStr">
        <is>
          <t>11-18</t>
        </is>
      </c>
      <c r="C5" s="2" t="n"/>
    </row>
    <row r="6">
      <c r="A6" t="n">
        <v>2026</v>
      </c>
      <c r="B6" t="inlineStr">
        <is>
          <t>12-0-0-26 (THIO)</t>
        </is>
      </c>
      <c r="C6" s="2" t="n">
        <v>2827.96</v>
      </c>
      <c r="D6" t="inlineStr">
        <is>
          <t>Fertilizer</t>
        </is>
      </c>
      <c r="E6" t="inlineStr">
        <is>
          <t>Kanza</t>
        </is>
      </c>
      <c r="F6" t="inlineStr">
        <is>
          <t>2026-04-07</t>
        </is>
      </c>
      <c r="G6" s="14" t="n">
        <v>6.654</v>
      </c>
      <c r="H6" t="inlineStr">
        <is>
          <t>ton</t>
        </is>
      </c>
      <c r="I6" s="2">
        <f>C6/G6</f>
        <v/>
      </c>
      <c r="J6" s="15">
        <f>C6/G6/2000</f>
        <v/>
      </c>
      <c r="K6" s="15">
        <f>J6*11.1</f>
        <v/>
      </c>
      <c r="L6" t="inlineStr">
        <is>
          <t>Kanza 229678-81 (4/7) @ $425/ton</t>
        </is>
      </c>
      <c r="M6" t="inlineStr"/>
    </row>
    <row r="7">
      <c r="A7" t="n">
        <v>2026</v>
      </c>
      <c r="B7" t="inlineStr">
        <is>
          <t>12-0-0-26 (THIO)</t>
        </is>
      </c>
      <c r="C7" s="2" t="n">
        <v>4483.81</v>
      </c>
      <c r="D7" t="inlineStr">
        <is>
          <t>Fertilizer</t>
        </is>
      </c>
      <c r="E7" t="inlineStr">
        <is>
          <t>Kanza</t>
        </is>
      </c>
      <c r="F7" t="inlineStr">
        <is>
          <t>2026-07-08</t>
        </is>
      </c>
      <c r="G7" s="14" t="n">
        <v>9.964</v>
      </c>
      <c r="H7" t="inlineStr">
        <is>
          <t>ton</t>
        </is>
      </c>
      <c r="I7" s="2">
        <f>C7/G7</f>
        <v/>
      </c>
      <c r="J7" s="15">
        <f>C7/G7/2000</f>
        <v/>
      </c>
      <c r="K7" s="15">
        <f>J7*11.1</f>
        <v/>
      </c>
      <c r="L7" t="inlineStr">
        <is>
          <t>Kanza 232196-97 (4/30) + 238181/82/95/96 (7/8) @ $450/ton</t>
        </is>
      </c>
      <c r="M7" t="inlineStr"/>
    </row>
    <row r="8">
      <c r="A8" t="n">
        <v>2026</v>
      </c>
      <c r="B8" t="inlineStr">
        <is>
          <t>1548 +soil add</t>
        </is>
      </c>
      <c r="C8" s="2" t="n"/>
    </row>
    <row r="9">
      <c r="A9" t="n">
        <v>2026</v>
      </c>
      <c r="B9" t="inlineStr">
        <is>
          <t>1548am 12.5k</t>
        </is>
      </c>
      <c r="C9" s="2" t="n"/>
    </row>
    <row r="10">
      <c r="A10" t="n">
        <v>2026</v>
      </c>
      <c r="B10" t="inlineStr">
        <is>
          <t>1548am 20k</t>
        </is>
      </c>
      <c r="C10" s="2" t="n"/>
    </row>
    <row r="11">
      <c r="A11" t="n">
        <v>2026</v>
      </c>
      <c r="B11" t="inlineStr">
        <is>
          <t>28-0-0</t>
        </is>
      </c>
      <c r="C11" s="2" t="n">
        <v>17986.2</v>
      </c>
      <c r="D11" t="inlineStr">
        <is>
          <t>Fertilizer</t>
        </is>
      </c>
      <c r="E11" t="inlineStr">
        <is>
          <t>Tyree Ag</t>
        </is>
      </c>
      <c r="F11" t="inlineStr">
        <is>
          <t>2026-02-11</t>
        </is>
      </c>
      <c r="G11" s="14" t="n">
        <v>8993.1</v>
      </c>
      <c r="H11" t="inlineStr">
        <is>
          <t>gal</t>
        </is>
      </c>
      <c r="I11" s="2">
        <f>C11/G11</f>
        <v/>
      </c>
      <c r="J11" s="15">
        <f>K11/10.67</f>
        <v/>
      </c>
      <c r="K11" s="15">
        <f>C11/G11</f>
        <v/>
      </c>
      <c r="L11" t="inlineStr">
        <is>
          <t>Tyree inv 189480 + 189481 (2/11) @ $2.00/gal</t>
        </is>
      </c>
      <c r="M11" t="inlineStr">
        <is>
          <t>Tyree offered 5% if paid by 2/21 — invoice shows full price paid</t>
        </is>
      </c>
    </row>
    <row r="12">
      <c r="A12" s="16" t="n">
        <v>2026</v>
      </c>
      <c r="B12" s="16" t="inlineStr">
        <is>
          <t>28-0-0</t>
        </is>
      </c>
      <c r="C12" s="17" t="n">
        <v>2188.8</v>
      </c>
      <c r="D12" s="16" t="inlineStr">
        <is>
          <t>Fertilizer</t>
        </is>
      </c>
      <c r="E12" s="16" t="inlineStr">
        <is>
          <t>FCE</t>
        </is>
      </c>
      <c r="F12" s="16" t="inlineStr">
        <is>
          <t>2026-02-12</t>
        </is>
      </c>
      <c r="G12" s="18" t="n">
        <v>6.08</v>
      </c>
      <c r="H12" s="16" t="inlineStr">
        <is>
          <t>ton</t>
        </is>
      </c>
      <c r="I12" s="17">
        <f>C12/G12</f>
        <v/>
      </c>
      <c r="J12" s="19">
        <f>C12/G12/2000</f>
        <v/>
      </c>
      <c r="K12" s="19">
        <f>J12*11.1</f>
        <v/>
      </c>
      <c r="L12" s="16" t="inlineStr">
        <is>
          <t>FCE tk 63551/63555 (2/12) THIO 12-0-0-26S @ $360/ton</t>
        </is>
      </c>
      <c r="M12" s="16" t="inlineStr">
        <is>
          <t>CHECK: FCE thio was counted inside your 28-0-0 total</t>
        </is>
      </c>
    </row>
    <row r="13">
      <c r="A13" s="16" t="n">
        <v>2026</v>
      </c>
      <c r="B13" s="16" t="inlineStr">
        <is>
          <t>28-0-0</t>
        </is>
      </c>
      <c r="C13" s="17" t="n">
        <v>1448.55</v>
      </c>
      <c r="D13" s="16" t="inlineStr">
        <is>
          <t>Fertilizer</t>
        </is>
      </c>
      <c r="E13" s="16" t="inlineStr">
        <is>
          <t>FCE</t>
        </is>
      </c>
      <c r="F13" s="16" t="inlineStr">
        <is>
          <t>2026-04-08</t>
        </is>
      </c>
      <c r="G13" s="18" t="n">
        <v>3.33</v>
      </c>
      <c r="H13" s="16" t="inlineStr">
        <is>
          <t>ton</t>
        </is>
      </c>
      <c r="I13" s="17">
        <f>C13/G13</f>
        <v/>
      </c>
      <c r="J13" s="19">
        <f>C13/G13/2000</f>
        <v/>
      </c>
      <c r="K13" s="19">
        <f>J13*11.1</f>
        <v/>
      </c>
      <c r="L13" s="16" t="inlineStr">
        <is>
          <t>FCE tk 63982 (4/8) THIO 12-0-0-26S @ $435/ton</t>
        </is>
      </c>
      <c r="M13" s="16" t="inlineStr">
        <is>
          <t>CHECK: FCE thio was counted inside your 28-0-0 total</t>
        </is>
      </c>
    </row>
    <row r="14">
      <c r="A14" t="n">
        <v>2026</v>
      </c>
      <c r="B14" t="inlineStr">
        <is>
          <t>30% UAN</t>
        </is>
      </c>
      <c r="C14" s="2" t="n"/>
    </row>
    <row r="15">
      <c r="A15" t="n">
        <v>2026</v>
      </c>
      <c r="B15" t="inlineStr">
        <is>
          <t>32 Thio</t>
        </is>
      </c>
      <c r="C15" s="2" t="n"/>
    </row>
    <row r="16">
      <c r="A16" t="n">
        <v>2026</v>
      </c>
      <c r="B16" t="inlineStr">
        <is>
          <t>32-0-0</t>
        </is>
      </c>
      <c r="C16" s="2" t="n">
        <v>26392.79</v>
      </c>
      <c r="D16" t="inlineStr">
        <is>
          <t>Fertilizer</t>
        </is>
      </c>
      <c r="E16" t="inlineStr">
        <is>
          <t>Kanza</t>
        </is>
      </c>
      <c r="F16" t="inlineStr">
        <is>
          <t>2026-04-07</t>
        </is>
      </c>
      <c r="G16" s="14" t="n">
        <v>45.9005</v>
      </c>
      <c r="H16" t="inlineStr">
        <is>
          <t>ton</t>
        </is>
      </c>
      <c r="I16" s="2">
        <f>C16/G16</f>
        <v/>
      </c>
      <c r="J16" s="15">
        <f>C16/G16/2000</f>
        <v/>
      </c>
      <c r="K16" s="15">
        <f>J16*11.06</f>
        <v/>
      </c>
      <c r="L16" t="inlineStr">
        <is>
          <t>Kanza 229678/79/80/81 (4/7) @ $575/ton</t>
        </is>
      </c>
      <c r="M16" t="inlineStr"/>
    </row>
    <row r="17">
      <c r="A17" t="n">
        <v>2026</v>
      </c>
      <c r="B17" t="inlineStr">
        <is>
          <t>32-0-0</t>
        </is>
      </c>
      <c r="C17" s="2" t="n">
        <v>13650.49</v>
      </c>
      <c r="D17" t="inlineStr">
        <is>
          <t>Fertilizer</t>
        </is>
      </c>
      <c r="E17" t="inlineStr">
        <is>
          <t>Kanza</t>
        </is>
      </c>
      <c r="F17" t="inlineStr">
        <is>
          <t>2026-04-30</t>
        </is>
      </c>
      <c r="G17" s="14" t="n">
        <v>22.942</v>
      </c>
      <c r="H17" t="inlineStr">
        <is>
          <t>ton</t>
        </is>
      </c>
      <c r="I17" s="2">
        <f>C17/G17</f>
        <v/>
      </c>
      <c r="J17" s="15">
        <f>C17/G17/2000</f>
        <v/>
      </c>
      <c r="K17" s="15">
        <f>J17*11.06</f>
        <v/>
      </c>
      <c r="L17" t="inlineStr">
        <is>
          <t>Kanza 232196/97 (4/30) @ $595/ton</t>
        </is>
      </c>
      <c r="M17" t="inlineStr"/>
    </row>
    <row r="18">
      <c r="A18" t="n">
        <v>2026</v>
      </c>
      <c r="B18" t="inlineStr">
        <is>
          <t>32-0-0</t>
        </is>
      </c>
      <c r="C18" s="2" t="n">
        <v>23135.07</v>
      </c>
      <c r="D18" t="inlineStr">
        <is>
          <t>Fertilizer</t>
        </is>
      </c>
      <c r="E18" t="inlineStr">
        <is>
          <t>Kanza</t>
        </is>
      </c>
      <c r="F18" t="inlineStr">
        <is>
          <t>2026-07-08</t>
        </is>
      </c>
      <c r="G18" s="14" t="n">
        <v>46.7375</v>
      </c>
      <c r="H18" t="inlineStr">
        <is>
          <t>ton</t>
        </is>
      </c>
      <c r="I18" s="2">
        <f>C18/G18</f>
        <v/>
      </c>
      <c r="J18" s="15">
        <f>C18/G18/2000</f>
        <v/>
      </c>
      <c r="K18" s="15">
        <f>J18*11.06</f>
        <v/>
      </c>
      <c r="L18" t="inlineStr">
        <is>
          <t>Kanza 238181/82/95/96 (7/8) @ $495/ton</t>
        </is>
      </c>
      <c r="M18" t="inlineStr"/>
    </row>
    <row r="19">
      <c r="A19" t="n">
        <v>2026</v>
      </c>
      <c r="B19" t="inlineStr">
        <is>
          <t>32-0-0</t>
        </is>
      </c>
      <c r="C19" s="2" t="n">
        <v>16257.48</v>
      </c>
      <c r="D19" t="inlineStr">
        <is>
          <t>Fertilizer</t>
        </is>
      </c>
      <c r="E19" t="inlineStr">
        <is>
          <t>Tyree Ag</t>
        </is>
      </c>
      <c r="F19" t="inlineStr">
        <is>
          <t>2026-04-06</t>
        </is>
      </c>
      <c r="G19" s="14" t="n">
        <v>5002.3</v>
      </c>
      <c r="H19" t="inlineStr">
        <is>
          <t>gal</t>
        </is>
      </c>
      <c r="I19" s="2">
        <f>C19/G19</f>
        <v/>
      </c>
      <c r="J19" s="15">
        <f>K19/11.06</f>
        <v/>
      </c>
      <c r="K19" s="15">
        <f>C19/G19</f>
        <v/>
      </c>
      <c r="L19" t="inlineStr">
        <is>
          <t>Tyree inv 190063 (4/6) @ $3.25/gal</t>
        </is>
      </c>
      <c r="M19" t="inlineStr">
        <is>
          <t>Tyree offered 5% if paid by 4/16 — invoice shows full price paid</t>
        </is>
      </c>
    </row>
    <row r="20">
      <c r="A20" t="n">
        <v>2026</v>
      </c>
      <c r="B20" t="inlineStr">
        <is>
          <t>44-07 (Dekalb)</t>
        </is>
      </c>
      <c r="C20" s="2" t="n">
        <v>2858.88</v>
      </c>
      <c r="D20" t="inlineStr">
        <is>
          <t>Seed</t>
        </is>
      </c>
      <c r="E20" t="inlineStr">
        <is>
          <t>Kanza</t>
        </is>
      </c>
      <c r="F20" t="inlineStr">
        <is>
          <t>2026-06-23</t>
        </is>
      </c>
      <c r="G20" s="14" t="n">
        <v>16</v>
      </c>
      <c r="H20" t="inlineStr">
        <is>
          <t>bag</t>
        </is>
      </c>
      <c r="I20" s="2">
        <f>C20/G20</f>
        <v/>
      </c>
      <c r="L20" t="inlineStr">
        <is>
          <t>Kanza 1673229 (6/23) DKS44-07 50#</t>
        </is>
      </c>
      <c r="M20" t="inlineStr">
        <is>
          <t>DKS36-07 was bought 6/23 and returned 7/13 — $0</t>
        </is>
      </c>
    </row>
    <row r="21">
      <c r="A21" t="n">
        <v>2026</v>
      </c>
      <c r="B21" t="inlineStr">
        <is>
          <t>6414v2p</t>
        </is>
      </c>
      <c r="C21" s="2" t="n"/>
    </row>
    <row r="22">
      <c r="A22" t="n">
        <v>2026</v>
      </c>
      <c r="B22" t="inlineStr">
        <is>
          <t>6414v2p (Beck's)</t>
        </is>
      </c>
      <c r="C22" s="2" t="n"/>
    </row>
    <row r="23">
      <c r="A23" t="n">
        <v>2026</v>
      </c>
      <c r="B23" t="inlineStr">
        <is>
          <t>86p20 (Pioneer)</t>
        </is>
      </c>
      <c r="C23" s="2" t="n"/>
    </row>
    <row r="24">
      <c r="A24" t="n">
        <v>2026</v>
      </c>
      <c r="B24" t="inlineStr">
        <is>
          <t>AG42XF1</t>
        </is>
      </c>
      <c r="C24" s="2" t="n">
        <v>8964</v>
      </c>
      <c r="D24" t="inlineStr">
        <is>
          <t>Seed</t>
        </is>
      </c>
      <c r="E24" t="inlineStr">
        <is>
          <t>Kanza</t>
        </is>
      </c>
      <c r="F24" t="inlineStr">
        <is>
          <t>2026-07-03</t>
        </is>
      </c>
      <c r="G24" s="14" t="n">
        <v>200</v>
      </c>
      <c r="H24" t="inlineStr">
        <is>
          <t>unit</t>
        </is>
      </c>
      <c r="I24" s="2">
        <f>C24/G24</f>
        <v/>
      </c>
      <c r="L24" t="inlineStr">
        <is>
          <t>Kanza 1678321 (7/3)</t>
        </is>
      </c>
      <c r="M24" t="inlineStr">
        <is>
          <t>$61/unit less volume, cash &amp; Bayer LCR</t>
        </is>
      </c>
    </row>
    <row r="25">
      <c r="A25" t="n">
        <v>2026</v>
      </c>
      <c r="B25" t="inlineStr">
        <is>
          <t>AG42XF1 (Asgrow)</t>
        </is>
      </c>
      <c r="C25" s="2" t="n"/>
    </row>
    <row r="26">
      <c r="A26" s="20" t="n">
        <v>2026</v>
      </c>
      <c r="B26" s="20" t="inlineStr">
        <is>
          <t>AMS</t>
        </is>
      </c>
      <c r="C26" s="21" t="n">
        <v>5263.2</v>
      </c>
      <c r="D26" s="20" t="inlineStr">
        <is>
          <t>Chemical</t>
        </is>
      </c>
      <c r="E26" s="20" t="inlineStr">
        <is>
          <t>Sims / Mom &amp; Dad</t>
        </is>
      </c>
      <c r="F26" s="20" t="n"/>
      <c r="G26" s="20" t="n"/>
      <c r="H26" s="20" t="n"/>
      <c r="I26" s="20" t="n"/>
      <c r="J26" s="20" t="n"/>
      <c r="K26" s="20" t="n"/>
      <c r="L26" s="20" t="inlineStr">
        <is>
          <t>Unknown — you are checking</t>
        </is>
      </c>
      <c r="M26" s="20" t="inlineStr">
        <is>
          <t>HOLD — CHECK BEFORE UPLOADING: may double-count the Sims AMS rows below</t>
        </is>
      </c>
    </row>
    <row r="27">
      <c r="A27" t="n">
        <v>2026</v>
      </c>
      <c r="B27" t="inlineStr">
        <is>
          <t>AMS</t>
        </is>
      </c>
      <c r="C27" s="2" t="n">
        <v>2937.6</v>
      </c>
      <c r="D27" t="inlineStr">
        <is>
          <t>Chemical</t>
        </is>
      </c>
      <c r="E27" t="inlineStr">
        <is>
          <t>Sims</t>
        </is>
      </c>
      <c r="F27" t="inlineStr">
        <is>
          <t>2026-04-03</t>
        </is>
      </c>
      <c r="G27" s="14" t="n">
        <v>8160</v>
      </c>
      <c r="H27" t="inlineStr">
        <is>
          <t>lb</t>
        </is>
      </c>
      <c r="I27" s="2">
        <f>C27/G27</f>
        <v/>
      </c>
      <c r="J27" s="15">
        <f>C27/G27</f>
        <v/>
      </c>
      <c r="L27" t="inlineStr">
        <is>
          <t>Sims inv 102043.1 (4/3) @ $0.36/lb</t>
        </is>
      </c>
      <c r="M27" t="inlineStr"/>
    </row>
    <row r="28">
      <c r="A28" t="n">
        <v>2026</v>
      </c>
      <c r="B28" t="inlineStr">
        <is>
          <t>AMS</t>
        </is>
      </c>
      <c r="C28" s="2" t="n">
        <v>1836</v>
      </c>
      <c r="D28" t="inlineStr">
        <is>
          <t>Chemical</t>
        </is>
      </c>
      <c r="E28" t="inlineStr">
        <is>
          <t>Sims</t>
        </is>
      </c>
      <c r="F28" t="inlineStr">
        <is>
          <t>2026-06-22</t>
        </is>
      </c>
      <c r="G28" s="14" t="n">
        <v>4080</v>
      </c>
      <c r="H28" t="inlineStr">
        <is>
          <t>lb</t>
        </is>
      </c>
      <c r="I28" s="2">
        <f>C28/G28</f>
        <v/>
      </c>
      <c r="J28" s="15">
        <f>C28/G28</f>
        <v/>
      </c>
      <c r="L28" t="inlineStr">
        <is>
          <t>Sims inv 103808.1 (6/20) + 103832.1 (6/22), 2,040 lb each @ $0.45/lb</t>
        </is>
      </c>
      <c r="M28" t="inlineStr"/>
    </row>
    <row r="29">
      <c r="A29" t="n">
        <v>2026</v>
      </c>
      <c r="B29" t="inlineStr">
        <is>
          <t>AMS</t>
        </is>
      </c>
      <c r="C29" s="2" t="n">
        <v>652.8</v>
      </c>
      <c r="D29" t="inlineStr">
        <is>
          <t>Chemical</t>
        </is>
      </c>
      <c r="E29" t="inlineStr">
        <is>
          <t>Kanza</t>
        </is>
      </c>
      <c r="F29" t="inlineStr">
        <is>
          <t>2026-10-06</t>
        </is>
      </c>
      <c r="G29" s="14" t="n">
        <v>1632</v>
      </c>
      <c r="H29" t="inlineStr">
        <is>
          <t>lb</t>
        </is>
      </c>
      <c r="I29" s="2">
        <f>C29/G29</f>
        <v/>
      </c>
      <c r="J29" s="15">
        <f>C29/G29</f>
        <v/>
      </c>
      <c r="L29" t="inlineStr">
        <is>
          <t>Kanza 1718211 (9/28) 510 lb, 1720714 (10/5) 510 lb, 1721359 (10/6) 612 lb @ $0.40/lb</t>
        </is>
      </c>
      <c r="M29" t="inlineStr"/>
    </row>
    <row r="30">
      <c r="A30" t="n">
        <v>2026</v>
      </c>
      <c r="B30" t="inlineStr">
        <is>
          <t>AP Prolific</t>
        </is>
      </c>
      <c r="C30" s="2" t="n"/>
    </row>
    <row r="31">
      <c r="A31" t="n">
        <v>2026</v>
      </c>
      <c r="B31" t="inlineStr">
        <is>
          <t>Atrazine 4L</t>
        </is>
      </c>
      <c r="C31" s="2" t="n">
        <v>3442.5</v>
      </c>
      <c r="D31" t="inlineStr">
        <is>
          <t>Chemical</t>
        </is>
      </c>
      <c r="E31" t="inlineStr">
        <is>
          <t>Sims</t>
        </is>
      </c>
      <c r="F31" t="inlineStr">
        <is>
          <t>2026-06-22</t>
        </is>
      </c>
      <c r="G31" s="14" t="n">
        <v>270</v>
      </c>
      <c r="H31" t="inlineStr">
        <is>
          <t>gal</t>
        </is>
      </c>
      <c r="I31" s="2">
        <f>C31/G31</f>
        <v/>
      </c>
      <c r="K31" s="15">
        <f>C31/G31</f>
        <v/>
      </c>
      <c r="L31" t="inlineStr">
        <is>
          <t>Sims 102043.1 (170 gal) + 103832.1 (100 gal)</t>
        </is>
      </c>
      <c r="M31" t="inlineStr">
        <is>
          <t>Same price both: $12.75/gal</t>
        </is>
      </c>
    </row>
    <row r="32">
      <c r="A32" t="n">
        <v>2026</v>
      </c>
      <c r="B32" t="inlineStr">
        <is>
          <t>Corn (mixed varieties)</t>
        </is>
      </c>
      <c r="C32" s="2" t="n"/>
    </row>
    <row r="33">
      <c r="A33" t="n">
        <v>2026</v>
      </c>
      <c r="B33" t="inlineStr">
        <is>
          <t>DKC104-80RIB</t>
        </is>
      </c>
      <c r="C33" s="2" t="n"/>
    </row>
    <row r="34">
      <c r="A34" t="n">
        <v>2026</v>
      </c>
      <c r="B34" t="inlineStr">
        <is>
          <t>DKC104-80RIB (Dekalb)</t>
        </is>
      </c>
      <c r="C34" s="2" t="n"/>
    </row>
    <row r="35">
      <c r="A35" t="n">
        <v>2026</v>
      </c>
      <c r="B35" t="inlineStr">
        <is>
          <t>DKC114-43RIB (Dekalb)</t>
        </is>
      </c>
      <c r="C35" s="2" t="n">
        <v>5059.52</v>
      </c>
      <c r="D35" t="inlineStr">
        <is>
          <t>Seed</t>
        </is>
      </c>
      <c r="E35" t="inlineStr">
        <is>
          <t>Kanza</t>
        </is>
      </c>
      <c r="F35" t="inlineStr">
        <is>
          <t>2026-04-22</t>
        </is>
      </c>
      <c r="G35" s="14" t="n">
        <v>16</v>
      </c>
      <c r="H35" t="inlineStr">
        <is>
          <t>bag</t>
        </is>
      </c>
      <c r="I35" s="2">
        <f>C35/G35</f>
        <v/>
      </c>
      <c r="L35" t="inlineStr">
        <is>
          <t>Kanza 1643953 (4/22)</t>
        </is>
      </c>
      <c r="M35" t="inlineStr"/>
    </row>
    <row r="36">
      <c r="A36" t="n">
        <v>2026</v>
      </c>
      <c r="B36" t="inlineStr">
        <is>
          <t>DKC63-55RIB (Dekalb)</t>
        </is>
      </c>
      <c r="C36" s="2" t="n">
        <v>3298.32</v>
      </c>
      <c r="D36" t="inlineStr">
        <is>
          <t>Seed</t>
        </is>
      </c>
      <c r="E36" t="inlineStr">
        <is>
          <t>Kanza</t>
        </is>
      </c>
      <c r="F36" t="inlineStr">
        <is>
          <t>2026-06-03</t>
        </is>
      </c>
      <c r="G36" s="14" t="n">
        <v>12</v>
      </c>
      <c r="H36" t="inlineStr">
        <is>
          <t>bag</t>
        </is>
      </c>
      <c r="I36" s="2">
        <f>C36/G36</f>
        <v/>
      </c>
      <c r="L36" t="inlineStr">
        <is>
          <t>Kanza 1643953 (4/22) 26 bags, returned 14 on 1663058 (6/3)</t>
        </is>
      </c>
      <c r="M36" t="inlineStr"/>
    </row>
    <row r="37">
      <c r="A37" t="n">
        <v>2026</v>
      </c>
      <c r="B37" t="inlineStr">
        <is>
          <t>DKC64-25 (Dekalb)</t>
        </is>
      </c>
      <c r="C37" s="2" t="n">
        <v>3934.4</v>
      </c>
      <c r="D37" t="inlineStr">
        <is>
          <t>Seed</t>
        </is>
      </c>
      <c r="E37" t="inlineStr">
        <is>
          <t>Kanza</t>
        </is>
      </c>
      <c r="F37" t="inlineStr">
        <is>
          <t>2026-04-22</t>
        </is>
      </c>
      <c r="G37" s="14" t="n">
        <v>16</v>
      </c>
      <c r="H37" t="inlineStr">
        <is>
          <t>bag</t>
        </is>
      </c>
      <c r="I37" s="2">
        <f>C37/G37</f>
        <v/>
      </c>
      <c r="L37" t="inlineStr">
        <is>
          <t>Kanza 1643953 (4/22)</t>
        </is>
      </c>
      <c r="M37" t="inlineStr"/>
    </row>
    <row r="38">
      <c r="A38" t="n">
        <v>2026</v>
      </c>
      <c r="B38" t="inlineStr">
        <is>
          <t>Feed</t>
        </is>
      </c>
      <c r="C38" s="2" t="n"/>
    </row>
    <row r="39">
      <c r="A39" t="n">
        <v>2026</v>
      </c>
      <c r="B39" t="inlineStr">
        <is>
          <t>Glufosinate</t>
        </is>
      </c>
      <c r="C39" s="2" t="n">
        <v>2025</v>
      </c>
      <c r="D39" t="inlineStr">
        <is>
          <t>Chemical</t>
        </is>
      </c>
      <c r="E39" t="inlineStr">
        <is>
          <t>Sims</t>
        </is>
      </c>
      <c r="F39" t="inlineStr">
        <is>
          <t>2026-04-03</t>
        </is>
      </c>
      <c r="G39" s="14" t="n">
        <v>135</v>
      </c>
      <c r="H39" t="inlineStr">
        <is>
          <t>gal</t>
        </is>
      </c>
      <c r="I39" s="2">
        <f>C39/G39</f>
        <v/>
      </c>
      <c r="K39" s="15">
        <f>C39/G39</f>
        <v/>
      </c>
      <c r="L39" t="inlineStr">
        <is>
          <t>Sims 102043.1 — 280 SL Glupex</t>
        </is>
      </c>
      <c r="M39" t="inlineStr"/>
    </row>
    <row r="40">
      <c r="A40" t="n">
        <v>2026</v>
      </c>
      <c r="B40" t="inlineStr">
        <is>
          <t>GLYPEX 5 extra</t>
        </is>
      </c>
      <c r="C40" s="2" t="n">
        <v>6875</v>
      </c>
      <c r="D40" t="inlineStr">
        <is>
          <t>Chemical</t>
        </is>
      </c>
      <c r="E40" t="inlineStr">
        <is>
          <t>Sims</t>
        </is>
      </c>
      <c r="F40" t="inlineStr">
        <is>
          <t>2026-04-03</t>
        </is>
      </c>
      <c r="G40" s="14" t="n">
        <v>550</v>
      </c>
      <c r="H40" t="inlineStr">
        <is>
          <t>gal</t>
        </is>
      </c>
      <c r="I40" s="2">
        <f>C40/G40</f>
        <v/>
      </c>
      <c r="K40" s="15">
        <f>C40/G40</f>
        <v/>
      </c>
      <c r="L40" t="inlineStr">
        <is>
          <t>Sims 102043.1 @ $12.50/gal</t>
        </is>
      </c>
      <c r="M40" t="inlineStr"/>
    </row>
    <row r="41">
      <c r="A41" t="n">
        <v>2026</v>
      </c>
      <c r="B41" t="inlineStr">
        <is>
          <t>GLYPEX 5 extra</t>
        </is>
      </c>
      <c r="C41" s="2" t="n">
        <v>4125</v>
      </c>
      <c r="D41" t="inlineStr">
        <is>
          <t>Chemical</t>
        </is>
      </c>
      <c r="E41" t="inlineStr">
        <is>
          <t>Sims</t>
        </is>
      </c>
      <c r="F41" t="inlineStr">
        <is>
          <t>2026-07-17</t>
        </is>
      </c>
      <c r="G41" s="14" t="n">
        <v>275</v>
      </c>
      <c r="H41" t="inlineStr">
        <is>
          <t>gal</t>
        </is>
      </c>
      <c r="I41" s="2">
        <f>C41/G41</f>
        <v/>
      </c>
      <c r="K41" s="15">
        <f>C41/G41</f>
        <v/>
      </c>
      <c r="L41" t="inlineStr">
        <is>
          <t>Sims ticket 1200 @ $15.00/gal</t>
        </is>
      </c>
      <c r="M41" t="inlineStr"/>
    </row>
    <row r="42">
      <c r="A42" t="n">
        <v>2026</v>
      </c>
      <c r="B42" t="inlineStr">
        <is>
          <t>Hot Mes</t>
        </is>
      </c>
      <c r="C42" s="2" t="n">
        <v>4400</v>
      </c>
      <c r="D42" t="inlineStr">
        <is>
          <t>Chemical</t>
        </is>
      </c>
      <c r="E42" t="inlineStr">
        <is>
          <t>Sims</t>
        </is>
      </c>
      <c r="F42" t="inlineStr">
        <is>
          <t>2026-06-20</t>
        </is>
      </c>
      <c r="G42" s="14" t="n">
        <v>275</v>
      </c>
      <c r="H42" t="inlineStr">
        <is>
          <t>gal</t>
        </is>
      </c>
      <c r="I42" s="2">
        <f>C42/G42</f>
        <v/>
      </c>
      <c r="K42" s="15">
        <f>C42/G42</f>
        <v/>
      </c>
      <c r="L42" t="inlineStr">
        <is>
          <t>Sims 102043.1 (110 gal) + 103808.1 (165 gal)</t>
        </is>
      </c>
      <c r="M42" t="inlineStr">
        <is>
          <t>Same price both: $16/gal</t>
        </is>
      </c>
    </row>
    <row r="43">
      <c r="A43" t="n">
        <v>2026</v>
      </c>
      <c r="B43" t="inlineStr">
        <is>
          <t>Humic</t>
        </is>
      </c>
      <c r="C43" s="2" t="n">
        <v>2892.18</v>
      </c>
      <c r="D43" t="inlineStr">
        <is>
          <t>Fertilizer</t>
        </is>
      </c>
      <c r="E43" t="inlineStr">
        <is>
          <t>Kanza</t>
        </is>
      </c>
      <c r="F43" t="inlineStr">
        <is>
          <t>2026-04-30</t>
        </is>
      </c>
      <c r="G43" s="14" t="n">
        <v>251.4942</v>
      </c>
      <c r="H43" t="inlineStr">
        <is>
          <t>gal</t>
        </is>
      </c>
      <c r="I43" s="2">
        <f>C43/G43</f>
        <v/>
      </c>
      <c r="K43" s="15">
        <f>C43/G43</f>
        <v/>
      </c>
      <c r="L43" t="inlineStr">
        <is>
          <t>Kanza 4/7 + 4/30 loads @ $11.50, less 503.2 moved to Elm Creek (1641467)</t>
        </is>
      </c>
      <c r="M43" t="inlineStr">
        <is>
          <t>Unit shown on statement has no label — gal assumed</t>
        </is>
      </c>
    </row>
    <row r="44">
      <c r="A44" t="n">
        <v>2026</v>
      </c>
      <c r="B44" t="inlineStr">
        <is>
          <t>Humic</t>
        </is>
      </c>
      <c r="C44" s="2" t="n">
        <v>5286.2</v>
      </c>
      <c r="D44" t="inlineStr">
        <is>
          <t>Fertilizer</t>
        </is>
      </c>
      <c r="E44" t="inlineStr">
        <is>
          <t>Kanza</t>
        </is>
      </c>
      <c r="F44" t="inlineStr">
        <is>
          <t>2026-07-08</t>
        </is>
      </c>
      <c r="G44" s="14" t="n">
        <v>503.4484</v>
      </c>
      <c r="H44" t="inlineStr">
        <is>
          <t>gal</t>
        </is>
      </c>
      <c r="I44" s="2">
        <f>C44/G44</f>
        <v/>
      </c>
      <c r="K44" s="15">
        <f>C44/G44</f>
        <v/>
      </c>
      <c r="L44" t="inlineStr">
        <is>
          <t>Kanza 7/8 loads @ $10.50</t>
        </is>
      </c>
      <c r="M44" t="inlineStr">
        <is>
          <t>Unit shown on statement has no label — gal assumed</t>
        </is>
      </c>
    </row>
    <row r="45">
      <c r="A45" t="n">
        <v>2026</v>
      </c>
      <c r="B45" t="inlineStr">
        <is>
          <t>Inhabit p</t>
        </is>
      </c>
      <c r="C45" s="2" t="n"/>
    </row>
    <row r="46">
      <c r="A46" t="n">
        <v>2026</v>
      </c>
      <c r="B46" t="inlineStr">
        <is>
          <t>KANZA HUMIC</t>
        </is>
      </c>
      <c r="C46" s="2" t="n"/>
    </row>
    <row r="47">
      <c r="A47" t="n">
        <v>2026</v>
      </c>
      <c r="B47" t="inlineStr">
        <is>
          <t>Laudis</t>
        </is>
      </c>
      <c r="C47" s="2" t="n">
        <v>2785</v>
      </c>
      <c r="D47" t="inlineStr">
        <is>
          <t>Chemical</t>
        </is>
      </c>
      <c r="E47" t="inlineStr">
        <is>
          <t>Sims</t>
        </is>
      </c>
      <c r="F47" t="inlineStr">
        <is>
          <t>2026-07-17</t>
        </is>
      </c>
      <c r="G47" s="14" t="n">
        <v>5</v>
      </c>
      <c r="H47" t="inlineStr">
        <is>
          <t>gal</t>
        </is>
      </c>
      <c r="I47" s="2">
        <f>C47/G47</f>
        <v/>
      </c>
      <c r="K47" s="15">
        <f>C47/G47</f>
        <v/>
      </c>
      <c r="L47" t="inlineStr">
        <is>
          <t>Sims 102043.1 17 gal, returned 10 (CM 103807.1) + 2 (ticket 1055)</t>
        </is>
      </c>
      <c r="M47" t="inlineStr">
        <is>
          <t>$557/gal</t>
        </is>
      </c>
    </row>
    <row r="48">
      <c r="A48" t="n">
        <v>2026</v>
      </c>
      <c r="B48" t="inlineStr">
        <is>
          <t>MCPE</t>
        </is>
      </c>
      <c r="C48" s="2" t="n">
        <v>955.63</v>
      </c>
      <c r="D48" t="inlineStr">
        <is>
          <t>Chemical</t>
        </is>
      </c>
      <c r="E48" t="inlineStr">
        <is>
          <t>Kanza</t>
        </is>
      </c>
      <c r="F48" t="inlineStr">
        <is>
          <t>2026-03-19</t>
        </is>
      </c>
      <c r="G48" s="14" t="n">
        <v>27.5</v>
      </c>
      <c r="H48" t="inlineStr">
        <is>
          <t>gal</t>
        </is>
      </c>
      <c r="I48" s="2">
        <f>C48/G48</f>
        <v/>
      </c>
      <c r="K48" s="15">
        <f>C48/G48</f>
        <v/>
      </c>
      <c r="L48" t="inlineStr">
        <is>
          <t>Kanza 1626832 (3/19)</t>
        </is>
      </c>
      <c r="M48" t="inlineStr"/>
    </row>
    <row r="49">
      <c r="A49" t="n">
        <v>2026</v>
      </c>
      <c r="B49" t="inlineStr">
        <is>
          <t>Mesotrione</t>
        </is>
      </c>
      <c r="C49" s="2" t="n">
        <v>882</v>
      </c>
      <c r="D49" t="inlineStr">
        <is>
          <t>Chemical</t>
        </is>
      </c>
      <c r="E49" t="inlineStr">
        <is>
          <t>Sims</t>
        </is>
      </c>
      <c r="F49" t="inlineStr">
        <is>
          <t>2026-06-22</t>
        </is>
      </c>
      <c r="G49" s="14" t="n">
        <v>18</v>
      </c>
      <c r="H49" t="inlineStr">
        <is>
          <t>gal</t>
        </is>
      </c>
      <c r="I49" s="2">
        <f>C49/G49</f>
        <v/>
      </c>
      <c r="K49" s="15">
        <f>C49/G49</f>
        <v/>
      </c>
      <c r="L49" t="inlineStr">
        <is>
          <t>Sims 102043.1 (8 gal) + 103832.1 (10 gal)</t>
        </is>
      </c>
      <c r="M49" t="inlineStr">
        <is>
          <t>Same price both: $49/gal</t>
        </is>
      </c>
    </row>
    <row r="50">
      <c r="A50" t="n">
        <v>2026</v>
      </c>
      <c r="B50" t="inlineStr">
        <is>
          <t>Metolachlor</t>
        </is>
      </c>
      <c r="C50" s="2" t="n">
        <v>4020</v>
      </c>
      <c r="D50" t="inlineStr">
        <is>
          <t>Chemical</t>
        </is>
      </c>
      <c r="E50" t="inlineStr">
        <is>
          <t>Sims</t>
        </is>
      </c>
      <c r="F50" t="inlineStr">
        <is>
          <t>2026-04-03</t>
        </is>
      </c>
      <c r="G50" s="14" t="n">
        <v>120</v>
      </c>
      <c r="H50" t="inlineStr">
        <is>
          <t>gal</t>
        </is>
      </c>
      <c r="I50" s="2">
        <f>C50/G50</f>
        <v/>
      </c>
      <c r="K50" s="15">
        <f>C50/G50</f>
        <v/>
      </c>
      <c r="L50" t="inlineStr">
        <is>
          <t>Sims 102043.1 — Metolachlor II</t>
        </is>
      </c>
      <c r="M50" t="inlineStr"/>
    </row>
    <row r="51">
      <c r="A51" t="n">
        <v>2026</v>
      </c>
      <c r="B51" t="inlineStr">
        <is>
          <t>P1548AM</t>
        </is>
      </c>
      <c r="C51" s="2" t="n"/>
    </row>
    <row r="52">
      <c r="A52" t="n">
        <v>2026</v>
      </c>
      <c r="B52" t="inlineStr">
        <is>
          <t>P1548AM (Pioneer)</t>
        </is>
      </c>
      <c r="C52" s="2" t="n"/>
    </row>
    <row r="53">
      <c r="A53" t="n">
        <v>2026</v>
      </c>
      <c r="B53" t="inlineStr">
        <is>
          <t>Paraquat</t>
        </is>
      </c>
      <c r="C53" s="2" t="n">
        <v>1980</v>
      </c>
      <c r="D53" t="inlineStr">
        <is>
          <t>Chemical</t>
        </is>
      </c>
      <c r="E53" t="inlineStr">
        <is>
          <t>Sims</t>
        </is>
      </c>
      <c r="F53" t="inlineStr">
        <is>
          <t>2026-04-03</t>
        </is>
      </c>
      <c r="G53" s="14" t="n">
        <v>120</v>
      </c>
      <c r="H53" t="inlineStr">
        <is>
          <t>gal</t>
        </is>
      </c>
      <c r="I53" s="2">
        <f>C53/G53</f>
        <v/>
      </c>
      <c r="K53" s="15">
        <f>C53/G53</f>
        <v/>
      </c>
      <c r="L53" t="inlineStr">
        <is>
          <t>Sims 102043.1 Parapex @ $16.50/gal</t>
        </is>
      </c>
      <c r="M53" t="inlineStr"/>
    </row>
    <row r="54">
      <c r="A54" t="n">
        <v>2026</v>
      </c>
      <c r="B54" t="inlineStr">
        <is>
          <t>Paraquat</t>
        </is>
      </c>
      <c r="C54" s="2" t="n">
        <v>4173.75</v>
      </c>
      <c r="D54" t="inlineStr">
        <is>
          <t>Chemical</t>
        </is>
      </c>
      <c r="E54" t="inlineStr">
        <is>
          <t>Sims</t>
        </is>
      </c>
      <c r="F54" t="inlineStr">
        <is>
          <t>2026-06-20</t>
        </is>
      </c>
      <c r="G54" s="14" t="n">
        <v>265</v>
      </c>
      <c r="H54" t="inlineStr">
        <is>
          <t>gal</t>
        </is>
      </c>
      <c r="I54" s="2">
        <f>C54/G54</f>
        <v/>
      </c>
      <c r="K54" s="15">
        <f>C54/G54</f>
        <v/>
      </c>
      <c r="L54" t="inlineStr">
        <is>
          <t>Sims 103808.1 Parapex @ $15.75/gal</t>
        </is>
      </c>
      <c r="M54" t="inlineStr"/>
    </row>
    <row r="55">
      <c r="A55" t="n">
        <v>2026</v>
      </c>
      <c r="B55" t="inlineStr">
        <is>
          <t>PHY357W3FE (Phytogen)</t>
        </is>
      </c>
      <c r="C55" s="2" t="n"/>
    </row>
    <row r="56">
      <c r="A56" t="n">
        <v>2026</v>
      </c>
      <c r="B56" t="inlineStr">
        <is>
          <t>Pioneer 86p20</t>
        </is>
      </c>
      <c r="C56" s="2" t="n"/>
    </row>
    <row r="57">
      <c r="A57" t="n">
        <v>2026</v>
      </c>
      <c r="B57" t="inlineStr">
        <is>
          <t>Preference</t>
        </is>
      </c>
      <c r="C57" s="2" t="n">
        <v>268.13</v>
      </c>
      <c r="D57" t="inlineStr">
        <is>
          <t>Chemical</t>
        </is>
      </c>
      <c r="E57" t="inlineStr">
        <is>
          <t>Kanza</t>
        </is>
      </c>
      <c r="F57" t="inlineStr">
        <is>
          <t>2026-03-19</t>
        </is>
      </c>
      <c r="G57" s="14" t="n">
        <v>7.5</v>
      </c>
      <c r="H57" t="inlineStr">
        <is>
          <t>gal</t>
        </is>
      </c>
      <c r="I57" s="2">
        <f>C57/G57</f>
        <v/>
      </c>
      <c r="K57" s="15">
        <f>C57/G57</f>
        <v/>
      </c>
      <c r="L57" t="inlineStr">
        <is>
          <t>Kanza 1626832 (3/19)</t>
        </is>
      </c>
      <c r="M57" t="inlineStr"/>
    </row>
    <row r="58">
      <c r="A58" t="n">
        <v>2026</v>
      </c>
      <c r="B58" t="inlineStr">
        <is>
          <t>Race/sharpen</t>
        </is>
      </c>
      <c r="C58" s="2" t="n">
        <v>2500</v>
      </c>
      <c r="D58" t="inlineStr">
        <is>
          <t>Chemical</t>
        </is>
      </c>
      <c r="E58" t="inlineStr">
        <is>
          <t>Sims</t>
        </is>
      </c>
      <c r="F58" t="inlineStr">
        <is>
          <t>2026-06-20</t>
        </is>
      </c>
      <c r="G58" s="14" t="n">
        <v>5</v>
      </c>
      <c r="H58" t="inlineStr">
        <is>
          <t>gal</t>
        </is>
      </c>
      <c r="I58" s="2">
        <f>C58/G58</f>
        <v/>
      </c>
      <c r="K58" s="15">
        <f>C58/G58</f>
        <v/>
      </c>
      <c r="L58" t="inlineStr">
        <is>
          <t>Sims 103808.1 — Race</t>
        </is>
      </c>
      <c r="M58" t="inlineStr"/>
    </row>
    <row r="59">
      <c r="A59" t="n">
        <v>2026</v>
      </c>
      <c r="B59" t="inlineStr">
        <is>
          <t>Rancor 75df/metribuzin</t>
        </is>
      </c>
      <c r="C59" s="2" t="n">
        <v>1511.25</v>
      </c>
      <c r="D59" t="inlineStr">
        <is>
          <t>Chemical</t>
        </is>
      </c>
      <c r="E59" t="inlineStr">
        <is>
          <t>Sims</t>
        </is>
      </c>
      <c r="F59" t="inlineStr">
        <is>
          <t>2026-07-17</t>
        </is>
      </c>
      <c r="G59" s="14" t="n">
        <v>155</v>
      </c>
      <c r="H59" t="inlineStr">
        <is>
          <t>lb</t>
        </is>
      </c>
      <c r="I59" s="2">
        <f>C59/G59</f>
        <v/>
      </c>
      <c r="J59" s="15">
        <f>C59/G59</f>
        <v/>
      </c>
      <c r="L59" t="inlineStr">
        <is>
          <t>Sims 103808.1 325 lb, returned 170 lb (ticket 1055)</t>
        </is>
      </c>
      <c r="M59" t="inlineStr">
        <is>
          <t>$9.75/lb</t>
        </is>
      </c>
    </row>
    <row r="60">
      <c r="A60" t="n">
        <v>2026</v>
      </c>
      <c r="B60" t="inlineStr">
        <is>
          <t>Sorghum (mixed varieties)</t>
        </is>
      </c>
      <c r="C60" s="2" t="n"/>
    </row>
    <row r="61">
      <c r="A61" t="n">
        <v>2026</v>
      </c>
      <c r="B61" t="inlineStr">
        <is>
          <t>Soybeans (mixed varieties)</t>
        </is>
      </c>
      <c r="C61" s="2" t="n"/>
    </row>
    <row r="62">
      <c r="A62" t="n">
        <v>2026</v>
      </c>
      <c r="B62" t="inlineStr">
        <is>
          <t>Status</t>
        </is>
      </c>
      <c r="C62" s="2" t="n">
        <v>1125</v>
      </c>
      <c r="D62" t="inlineStr">
        <is>
          <t>Chemical</t>
        </is>
      </c>
      <c r="E62" t="inlineStr">
        <is>
          <t>Kanza</t>
        </is>
      </c>
      <c r="F62" t="inlineStr">
        <is>
          <t>2026-06-16</t>
        </is>
      </c>
      <c r="G62" s="14" t="n">
        <v>250</v>
      </c>
      <c r="H62" t="inlineStr">
        <is>
          <t>unit</t>
        </is>
      </c>
      <c r="I62" s="2">
        <f>C62/G62</f>
        <v/>
      </c>
      <c r="L62" t="inlineStr">
        <is>
          <t>Kanza 1668818 (6/16) @ $4.50</t>
        </is>
      </c>
      <c r="M62" t="inlineStr">
        <is>
          <t>Unit not labeled on statement (likely oz)</t>
        </is>
      </c>
    </row>
    <row r="63">
      <c r="A63" t="n">
        <v>2026</v>
      </c>
      <c r="B63" t="inlineStr">
        <is>
          <t>Sterling Blue</t>
        </is>
      </c>
      <c r="C63" s="2" t="n">
        <v>860</v>
      </c>
      <c r="D63" t="inlineStr">
        <is>
          <t>Chemical</t>
        </is>
      </c>
      <c r="E63" t="inlineStr">
        <is>
          <t>Kanza</t>
        </is>
      </c>
      <c r="F63" t="inlineStr">
        <is>
          <t>2026-07-30</t>
        </is>
      </c>
      <c r="G63" s="14" t="n">
        <v>20</v>
      </c>
      <c r="H63" t="inlineStr">
        <is>
          <t>gal</t>
        </is>
      </c>
      <c r="I63" s="2">
        <f>C63/G63</f>
        <v/>
      </c>
      <c r="K63" s="15">
        <f>C63/G63</f>
        <v/>
      </c>
      <c r="L63" t="inlineStr">
        <is>
          <t>Kanza 1681881 (7/13) 27.5 gal, returned 7.5 (1690768)</t>
        </is>
      </c>
      <c r="M63" t="inlineStr"/>
    </row>
    <row r="64">
      <c r="A64" t="n">
        <v>2026</v>
      </c>
      <c r="B64" t="inlineStr">
        <is>
          <t>Sunflowers</t>
        </is>
      </c>
      <c r="C64" s="2" t="n"/>
    </row>
    <row r="65">
      <c r="A65" t="n">
        <v>2026</v>
      </c>
      <c r="B65" t="inlineStr">
        <is>
          <t>TIDE FLUMI 44% SC</t>
        </is>
      </c>
      <c r="C65" s="2" t="n">
        <v>2475</v>
      </c>
      <c r="D65" t="inlineStr">
        <is>
          <t>Chemical</t>
        </is>
      </c>
      <c r="E65" t="inlineStr">
        <is>
          <t>Sims</t>
        </is>
      </c>
      <c r="F65" t="inlineStr">
        <is>
          <t>2026-04-03</t>
        </is>
      </c>
      <c r="G65" s="14" t="n">
        <v>25</v>
      </c>
      <c r="H65" t="inlineStr">
        <is>
          <t>gal</t>
        </is>
      </c>
      <c r="I65" s="2">
        <f>C65/G65</f>
        <v/>
      </c>
      <c r="K65" s="15">
        <f>C65/G65</f>
        <v/>
      </c>
      <c r="L65" t="inlineStr">
        <is>
          <t>Sims 102043.1</t>
        </is>
      </c>
      <c r="M65" t="inlineStr"/>
    </row>
    <row r="66">
      <c r="A66" t="n">
        <v>2026</v>
      </c>
      <c r="B66" t="inlineStr">
        <is>
          <t>Verdict</t>
        </is>
      </c>
      <c r="C66" s="2" t="n">
        <v>2680</v>
      </c>
      <c r="D66" t="inlineStr">
        <is>
          <t>Chemical</t>
        </is>
      </c>
      <c r="E66" t="inlineStr">
        <is>
          <t>Sims</t>
        </is>
      </c>
      <c r="F66" t="inlineStr">
        <is>
          <t>2026-04-03</t>
        </is>
      </c>
      <c r="G66" s="14" t="n">
        <v>20</v>
      </c>
      <c r="H66" t="inlineStr">
        <is>
          <t>gal</t>
        </is>
      </c>
      <c r="I66" s="2">
        <f>C66/G66</f>
        <v/>
      </c>
      <c r="K66" s="15">
        <f>C66/G66</f>
        <v/>
      </c>
      <c r="L66" t="inlineStr">
        <is>
          <t>Sims 102043.1</t>
        </is>
      </c>
      <c r="M66" t="inlineStr"/>
    </row>
    <row r="67">
      <c r="A67" t="n">
        <v>2026</v>
      </c>
      <c r="B67" t="inlineStr">
        <is>
          <t>Water</t>
        </is>
      </c>
      <c r="C67" s="2" t="n"/>
    </row>
    <row r="68">
      <c r="A68" t="n">
        <v>2026</v>
      </c>
      <c r="B68" t="inlineStr">
        <is>
          <t>Wheat (mixed varieties)</t>
        </is>
      </c>
      <c r="C68" s="2" t="n"/>
    </row>
    <row r="69">
      <c r="A69" t="n">
        <v>2026</v>
      </c>
      <c r="B69" t="inlineStr">
        <is>
          <t>Yukon</t>
        </is>
      </c>
      <c r="C69" s="2" t="n"/>
    </row>
    <row r="70">
      <c r="A70" t="n">
        <v>2026</v>
      </c>
      <c r="B70" t="inlineStr">
        <is>
          <t>Atarrus</t>
        </is>
      </c>
      <c r="C70" s="2" t="n">
        <v>187.96</v>
      </c>
      <c r="D70" t="inlineStr">
        <is>
          <t>Chemical</t>
        </is>
      </c>
      <c r="E70" t="inlineStr">
        <is>
          <t>FBN</t>
        </is>
      </c>
      <c r="F70" t="inlineStr">
        <is>
          <t>2026-03-06</t>
        </is>
      </c>
      <c r="G70" s="14" t="n">
        <v>25</v>
      </c>
      <c r="H70" t="inlineStr">
        <is>
          <t>gal</t>
        </is>
      </c>
      <c r="I70" s="2">
        <f>C70/G70</f>
        <v/>
      </c>
      <c r="K70" s="15">
        <f>C70/G70</f>
        <v/>
      </c>
      <c r="L70" t="inlineStr">
        <is>
          <t>FBN SO-1201909 (3/6)</t>
        </is>
      </c>
      <c r="M70" t="inlineStr">
        <is>
          <t>$1,397.60 less $1,000 credit &amp; discounts; $5.64 card fee not included</t>
        </is>
      </c>
    </row>
    <row r="71">
      <c r="A71" t="n">
        <v>2026</v>
      </c>
      <c r="B71" t="inlineStr">
        <is>
          <t>IVC Zinc 10%</t>
        </is>
      </c>
      <c r="C71" s="2" t="n">
        <v>937.5</v>
      </c>
      <c r="D71" t="inlineStr">
        <is>
          <t>Fertilizer</t>
        </is>
      </c>
      <c r="E71" t="inlineStr">
        <is>
          <t>FCE</t>
        </is>
      </c>
      <c r="F71" t="inlineStr">
        <is>
          <t>2026-07-06</t>
        </is>
      </c>
      <c r="G71" s="14" t="n">
        <v>75</v>
      </c>
      <c r="H71" t="inlineStr">
        <is>
          <t>unit</t>
        </is>
      </c>
      <c r="I71" s="2">
        <f>C71/G71</f>
        <v/>
      </c>
      <c r="L71" t="inlineStr">
        <is>
          <t>FCE tk 216171 (25) + order 216498 (50) @ $12.50</t>
        </is>
      </c>
      <c r="M71" t="inlineStr">
        <is>
          <t>Unit not labeled on statement</t>
        </is>
      </c>
    </row>
    <row r="72">
      <c r="A72" t="n">
        <v>2026</v>
      </c>
      <c r="B72" t="inlineStr">
        <is>
          <t>Tempus 90/10 PREF</t>
        </is>
      </c>
      <c r="C72" s="2" t="n">
        <v>125.63</v>
      </c>
      <c r="D72" t="inlineStr">
        <is>
          <t>Chemical</t>
        </is>
      </c>
      <c r="E72" t="inlineStr">
        <is>
          <t>Kanza</t>
        </is>
      </c>
      <c r="F72" t="inlineStr">
        <is>
          <t>2026-07-30</t>
        </is>
      </c>
      <c r="G72" s="14" t="n">
        <v>7.5</v>
      </c>
      <c r="H72" t="inlineStr">
        <is>
          <t>gal</t>
        </is>
      </c>
      <c r="I72" s="2">
        <f>C72/G72</f>
        <v/>
      </c>
      <c r="K72" s="15">
        <f>C72/G72</f>
        <v/>
      </c>
      <c r="L72" t="inlineStr">
        <is>
          <t>Kanza 1681881 10 gal, returned 2.5 (1690768)</t>
        </is>
      </c>
      <c r="M72" t="inlineStr"/>
    </row>
    <row r="73">
      <c r="A73" t="n">
        <v>2026</v>
      </c>
      <c r="B73" t="inlineStr">
        <is>
          <t>Corsican</t>
        </is>
      </c>
      <c r="C73" s="2" t="n">
        <v>4690</v>
      </c>
      <c r="D73" t="inlineStr">
        <is>
          <t>Chemical</t>
        </is>
      </c>
      <c r="E73" t="inlineStr">
        <is>
          <t>Sims</t>
        </is>
      </c>
      <c r="F73" t="inlineStr">
        <is>
          <t>2026-06-22</t>
        </is>
      </c>
      <c r="G73" s="14" t="n">
        <v>35</v>
      </c>
      <c r="H73" t="inlineStr">
        <is>
          <t>gal</t>
        </is>
      </c>
      <c r="I73" s="2">
        <f>C73/G73</f>
        <v/>
      </c>
      <c r="K73" s="15">
        <f>C73/G73</f>
        <v/>
      </c>
      <c r="L73" t="inlineStr">
        <is>
          <t>Sims 103832.1</t>
        </is>
      </c>
      <c r="M73" t="inlineStr"/>
    </row>
    <row r="74">
      <c r="A74" t="n">
        <v>2026</v>
      </c>
      <c r="B74" t="inlineStr">
        <is>
          <t>DKC61-80RIB</t>
        </is>
      </c>
      <c r="C74" s="2" t="n">
        <v>3868.32</v>
      </c>
      <c r="D74" t="inlineStr">
        <is>
          <t>Seed</t>
        </is>
      </c>
      <c r="E74" t="inlineStr">
        <is>
          <t>Kanza</t>
        </is>
      </c>
      <c r="F74" t="inlineStr">
        <is>
          <t>2026-06-03</t>
        </is>
      </c>
      <c r="G74" s="14" t="n">
        <v>16</v>
      </c>
      <c r="H74" t="inlineStr">
        <is>
          <t>bag</t>
        </is>
      </c>
      <c r="I74" s="2">
        <f>C74/G74</f>
        <v/>
      </c>
      <c r="L74" t="inlineStr">
        <is>
          <t>Kanza 1643953 17 bags, returned 1 (1663058)</t>
        </is>
      </c>
      <c r="M74" t="inlineStr"/>
    </row>
    <row r="75">
      <c r="A75" t="n">
        <v>2026</v>
      </c>
      <c r="B75" t="inlineStr">
        <is>
          <t>AG46XF2</t>
        </is>
      </c>
      <c r="C75" s="2" t="n">
        <v>1792.8</v>
      </c>
      <c r="D75" t="inlineStr">
        <is>
          <t>Seed</t>
        </is>
      </c>
      <c r="E75" t="inlineStr">
        <is>
          <t>Kanza</t>
        </is>
      </c>
      <c r="F75" t="inlineStr">
        <is>
          <t>2026-07-03</t>
        </is>
      </c>
      <c r="G75" s="14" t="n">
        <v>40</v>
      </c>
      <c r="H75" t="inlineStr">
        <is>
          <t>unit</t>
        </is>
      </c>
      <c r="I75" s="2">
        <f>C75/G75</f>
        <v/>
      </c>
      <c r="L75" t="inlineStr">
        <is>
          <t>Kanza 1678321 (7/3)</t>
        </is>
      </c>
      <c r="M75" t="inlineStr"/>
    </row>
    <row r="76">
      <c r="A76" t="n">
        <v>2026</v>
      </c>
      <c r="B76" t="inlineStr">
        <is>
          <t>Primo R1 SM inoculant</t>
        </is>
      </c>
      <c r="C76" s="2" t="n">
        <v>900</v>
      </c>
      <c r="D76" t="inlineStr">
        <is>
          <t>Seed</t>
        </is>
      </c>
      <c r="E76" t="inlineStr">
        <is>
          <t>Kanza</t>
        </is>
      </c>
      <c r="F76" t="inlineStr">
        <is>
          <t>2026-07-03</t>
        </is>
      </c>
      <c r="G76" s="14" t="n">
        <v>240</v>
      </c>
      <c r="H76" t="inlineStr">
        <is>
          <t>unit</t>
        </is>
      </c>
      <c r="I76" s="2">
        <f>C76/G76</f>
        <v/>
      </c>
      <c r="L76" t="inlineStr">
        <is>
          <t>Kanza 1678321 (7/3)</t>
        </is>
      </c>
      <c r="M76" t="inlineStr"/>
    </row>
    <row r="77">
      <c r="A77" s="22" t="n">
        <v>2026</v>
      </c>
      <c r="B77" s="22" t="inlineStr">
        <is>
          <t>Trevo P</t>
        </is>
      </c>
      <c r="C77" s="23" t="n">
        <v>975</v>
      </c>
      <c r="D77" s="22" t="inlineStr">
        <is>
          <t>Chemical</t>
        </is>
      </c>
      <c r="E77" s="22" t="inlineStr">
        <is>
          <t>Kanza</t>
        </is>
      </c>
      <c r="F77" s="22" t="n"/>
      <c r="G77" s="22" t="n"/>
      <c r="H77" s="22" t="n"/>
      <c r="I77" s="22" t="n"/>
      <c r="J77" s="22" t="n"/>
      <c r="K77" s="22" t="n"/>
      <c r="L77" s="22" t="inlineStr">
        <is>
          <t>No invoice found in what you sent</t>
        </is>
      </c>
      <c r="M77" s="22" t="inlineStr">
        <is>
          <t>Need invoice for quantity</t>
        </is>
      </c>
    </row>
    <row r="79">
      <c r="L79" s="24" t="inlineStr">
        <is>
          <t>TOTAL, all rows</t>
        </is>
      </c>
      <c r="M79" s="25">
        <f>SUM(C2:C77)</f>
        <v/>
      </c>
    </row>
    <row r="80">
      <c r="L80" s="26" t="inlineStr">
        <is>
          <t>TOTAL without Mom &amp; Dad AMS</t>
        </is>
      </c>
      <c r="M80" s="27">
        <f>M79-SUMIFS(C2:C77,E2:E77,"Sims / Mom &amp; Dad")</f>
        <v/>
      </c>
    </row>
  </sheetData>
  <autoFilter ref="A1:F66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4" customWidth="1" min="1" max="1"/>
    <col width="14" customWidth="1" min="2" max="5"/>
    <col width="12" customWidth="1" min="6" max="6"/>
  </cols>
  <sheetData>
    <row r="1">
      <c r="A1" s="3" t="inlineStr">
        <is>
          <t>Product</t>
        </is>
      </c>
      <c r="B1" s="3" t="inlineStr">
        <is>
          <t>Category</t>
        </is>
      </c>
      <c r="C1" s="4" t="inlineStr">
        <is>
          <t>2025 Cost</t>
        </is>
      </c>
      <c r="D1" s="4" t="inlineStr">
        <is>
          <t>2026 Cost</t>
        </is>
      </c>
      <c r="E1" s="4" t="inlineStr">
        <is>
          <t>Change ($)</t>
        </is>
      </c>
      <c r="F1" s="4" t="inlineStr">
        <is>
          <t>Change (%)</t>
        </is>
      </c>
    </row>
    <row r="2">
      <c r="A2" s="5" t="inlineStr">
        <is>
          <t>32-0-0</t>
        </is>
      </c>
      <c r="B2" s="5" t="inlineStr">
        <is>
          <t>Fertilizer</t>
        </is>
      </c>
      <c r="C2" s="6" t="n">
        <v>25753.05</v>
      </c>
      <c r="D2" s="6" t="n">
        <v>79435.83</v>
      </c>
      <c r="E2" s="6" t="n">
        <v>53682.78</v>
      </c>
      <c r="F2" s="7" t="n">
        <v>2.084521250880964</v>
      </c>
    </row>
    <row r="3">
      <c r="A3" s="5" t="inlineStr">
        <is>
          <t>10-34-0</t>
        </is>
      </c>
      <c r="B3" s="5" t="inlineStr">
        <is>
          <t>Fertilizer</t>
        </is>
      </c>
      <c r="C3" s="5" t="n"/>
      <c r="D3" s="6" t="n">
        <v>8687.26</v>
      </c>
      <c r="E3" s="5" t="n"/>
      <c r="F3" s="5" t="n"/>
    </row>
    <row r="4">
      <c r="A4" s="5" t="inlineStr">
        <is>
          <t>Humic</t>
        </is>
      </c>
      <c r="B4" s="5" t="inlineStr">
        <is>
          <t>Fertilizer</t>
        </is>
      </c>
      <c r="C4" s="5" t="n"/>
      <c r="D4" s="6" t="n">
        <v>8178.38</v>
      </c>
      <c r="E4" s="5" t="n"/>
      <c r="F4" s="5" t="n"/>
    </row>
    <row r="5">
      <c r="A5" s="5" t="inlineStr">
        <is>
          <t>12-0-0-26 Thio-Sul</t>
        </is>
      </c>
      <c r="B5" s="5" t="inlineStr">
        <is>
          <t>Fertilizer</t>
        </is>
      </c>
      <c r="C5" s="6" t="n">
        <v>3607.07</v>
      </c>
      <c r="D5" s="6" t="n">
        <v>7311.77</v>
      </c>
      <c r="E5" s="6" t="n">
        <v>3704.7</v>
      </c>
      <c r="F5" s="7" t="n">
        <v>1.027066289259704</v>
      </c>
    </row>
    <row r="6">
      <c r="A6" s="5" t="inlineStr">
        <is>
          <t>IVC Zinc 10%</t>
        </is>
      </c>
      <c r="B6" s="5" t="inlineStr">
        <is>
          <t>Fertilizer</t>
        </is>
      </c>
      <c r="C6" s="5" t="n"/>
      <c r="D6" s="6" t="n">
        <v>937.5</v>
      </c>
      <c r="E6" s="5" t="n"/>
      <c r="F6" s="5" t="n"/>
    </row>
    <row r="7">
      <c r="A7" s="5" t="inlineStr">
        <is>
          <t>GLYPEX 5 extra</t>
        </is>
      </c>
      <c r="B7" s="5" t="inlineStr">
        <is>
          <t>Chemical</t>
        </is>
      </c>
      <c r="C7" s="5" t="n"/>
      <c r="D7" s="6" t="n">
        <v>11000</v>
      </c>
      <c r="E7" s="5" t="n"/>
      <c r="F7" s="5" t="n"/>
    </row>
    <row r="8">
      <c r="A8" s="5" t="inlineStr">
        <is>
          <t>Paraquat</t>
        </is>
      </c>
      <c r="B8" s="5" t="inlineStr">
        <is>
          <t>Chemical</t>
        </is>
      </c>
      <c r="C8" s="5" t="n"/>
      <c r="D8" s="6" t="n">
        <v>6153.75</v>
      </c>
      <c r="E8" s="5" t="n"/>
      <c r="F8" s="5" t="n"/>
    </row>
    <row r="9">
      <c r="A9" s="5" t="inlineStr">
        <is>
          <t>AMS</t>
        </is>
      </c>
      <c r="B9" s="5" t="inlineStr">
        <is>
          <t>Chemical</t>
        </is>
      </c>
      <c r="C9" s="6" t="n">
        <v>61.2</v>
      </c>
      <c r="D9" s="6" t="n">
        <v>5263.2</v>
      </c>
      <c r="E9" s="6" t="n">
        <v>5202</v>
      </c>
      <c r="F9" s="7" t="n">
        <v>85.00000000000001</v>
      </c>
    </row>
    <row r="10">
      <c r="A10" s="5" t="inlineStr">
        <is>
          <t>Corsican</t>
        </is>
      </c>
      <c r="B10" s="5" t="inlineStr">
        <is>
          <t>Chemical</t>
        </is>
      </c>
      <c r="C10" s="5" t="n"/>
      <c r="D10" s="6" t="n">
        <v>4690</v>
      </c>
      <c r="E10" s="5" t="n"/>
      <c r="F10" s="5" t="n"/>
    </row>
    <row r="11">
      <c r="A11" s="5" t="inlineStr">
        <is>
          <t>Hot Mes</t>
        </is>
      </c>
      <c r="B11" s="5" t="inlineStr">
        <is>
          <t>Chemical</t>
        </is>
      </c>
      <c r="C11" s="5" t="n"/>
      <c r="D11" s="6" t="n">
        <v>4400</v>
      </c>
      <c r="E11" s="5" t="n"/>
      <c r="F11" s="5" t="n"/>
    </row>
    <row r="12">
      <c r="A12" s="5" t="inlineStr">
        <is>
          <t>Metolachlor</t>
        </is>
      </c>
      <c r="B12" s="5" t="inlineStr">
        <is>
          <t>Chemical</t>
        </is>
      </c>
      <c r="C12" s="5" t="n"/>
      <c r="D12" s="6" t="n">
        <v>4020</v>
      </c>
      <c r="E12" s="5" t="n"/>
      <c r="F12" s="5" t="n"/>
    </row>
    <row r="13">
      <c r="A13" s="5" t="inlineStr">
        <is>
          <t>Atrazine 4L</t>
        </is>
      </c>
      <c r="B13" s="5" t="inlineStr">
        <is>
          <t>Chemical</t>
        </is>
      </c>
      <c r="C13" s="5" t="n"/>
      <c r="D13" s="6" t="n">
        <v>3442.5</v>
      </c>
      <c r="E13" s="5" t="n"/>
      <c r="F13" s="5" t="n"/>
    </row>
    <row r="14">
      <c r="A14" s="5" t="inlineStr">
        <is>
          <t>Laudis</t>
        </is>
      </c>
      <c r="B14" s="5" t="inlineStr">
        <is>
          <t>Chemical</t>
        </is>
      </c>
      <c r="C14" s="5" t="n"/>
      <c r="D14" s="6" t="n">
        <v>2785</v>
      </c>
      <c r="E14" s="5" t="n"/>
      <c r="F14" s="5" t="n"/>
    </row>
    <row r="15">
      <c r="A15" s="5" t="inlineStr">
        <is>
          <t>Verdict</t>
        </is>
      </c>
      <c r="B15" s="5" t="inlineStr">
        <is>
          <t>Chemical</t>
        </is>
      </c>
      <c r="C15" s="5" t="n"/>
      <c r="D15" s="6" t="n">
        <v>2680</v>
      </c>
      <c r="E15" s="5" t="n"/>
      <c r="F15" s="5" t="n"/>
    </row>
    <row r="16">
      <c r="A16" s="5" t="inlineStr">
        <is>
          <t>Race/sharpen</t>
        </is>
      </c>
      <c r="B16" s="5" t="inlineStr">
        <is>
          <t>Chemical</t>
        </is>
      </c>
      <c r="C16" s="5" t="n"/>
      <c r="D16" s="6" t="n">
        <v>2500</v>
      </c>
      <c r="E16" s="5" t="n"/>
      <c r="F16" s="5" t="n"/>
    </row>
    <row r="17">
      <c r="A17" s="5" t="inlineStr">
        <is>
          <t>TIDE FLUMI 44% SC</t>
        </is>
      </c>
      <c r="B17" s="5" t="inlineStr">
        <is>
          <t>Chemical</t>
        </is>
      </c>
      <c r="C17" s="5" t="n"/>
      <c r="D17" s="6" t="n">
        <v>2475</v>
      </c>
      <c r="E17" s="5" t="n"/>
      <c r="F17" s="5" t="n"/>
    </row>
    <row r="18">
      <c r="A18" s="5" t="inlineStr">
        <is>
          <t>Glufosinate</t>
        </is>
      </c>
      <c r="B18" s="5" t="inlineStr">
        <is>
          <t>Chemical</t>
        </is>
      </c>
      <c r="C18" s="5" t="n"/>
      <c r="D18" s="6" t="n">
        <v>2025</v>
      </c>
      <c r="E18" s="5" t="n"/>
      <c r="F18" s="5" t="n"/>
    </row>
    <row r="19">
      <c r="A19" s="5" t="inlineStr">
        <is>
          <t>Huskie</t>
        </is>
      </c>
      <c r="B19" s="5" t="inlineStr">
        <is>
          <t>Chemical</t>
        </is>
      </c>
      <c r="C19" s="6" t="n">
        <v>2010</v>
      </c>
      <c r="D19" s="5" t="n"/>
      <c r="E19" s="5" t="n"/>
      <c r="F19" s="5" t="n"/>
    </row>
    <row r="20">
      <c r="A20" s="5" t="inlineStr">
        <is>
          <t>Sivanto Prime</t>
        </is>
      </c>
      <c r="B20" s="5" t="inlineStr">
        <is>
          <t>Chemical</t>
        </is>
      </c>
      <c r="C20" s="6" t="n">
        <v>1910</v>
      </c>
      <c r="D20" s="5" t="n"/>
      <c r="E20" s="5" t="n"/>
      <c r="F20" s="5" t="n"/>
    </row>
    <row r="21">
      <c r="A21" s="5" t="inlineStr">
        <is>
          <t>Rancor 75df/metribuzin</t>
        </is>
      </c>
      <c r="B21" s="5" t="inlineStr">
        <is>
          <t>Chemical</t>
        </is>
      </c>
      <c r="C21" s="5" t="n"/>
      <c r="D21" s="6" t="n">
        <v>1511.25</v>
      </c>
      <c r="E21" s="5" t="n"/>
      <c r="F21" s="5" t="n"/>
    </row>
    <row r="22">
      <c r="A22" s="5" t="inlineStr">
        <is>
          <t>Status</t>
        </is>
      </c>
      <c r="B22" s="5" t="inlineStr">
        <is>
          <t>Chemical</t>
        </is>
      </c>
      <c r="C22" s="5" t="n"/>
      <c r="D22" s="6" t="n">
        <v>1125</v>
      </c>
      <c r="E22" s="5" t="n"/>
      <c r="F22" s="5" t="n"/>
    </row>
    <row r="23">
      <c r="A23" s="5" t="inlineStr">
        <is>
          <t>Trevo P</t>
        </is>
      </c>
      <c r="B23" s="5" t="inlineStr">
        <is>
          <t>Chemical</t>
        </is>
      </c>
      <c r="C23" s="6" t="n">
        <v>975</v>
      </c>
      <c r="D23" s="5" t="n"/>
      <c r="E23" s="5" t="n"/>
      <c r="F23" s="5" t="n"/>
    </row>
    <row r="24">
      <c r="A24" s="5" t="inlineStr">
        <is>
          <t>MCPE</t>
        </is>
      </c>
      <c r="B24" s="5" t="inlineStr">
        <is>
          <t>Chemical</t>
        </is>
      </c>
      <c r="C24" s="5" t="n"/>
      <c r="D24" s="6" t="n">
        <v>955.63</v>
      </c>
      <c r="E24" s="5" t="n"/>
      <c r="F24" s="5" t="n"/>
    </row>
    <row r="25">
      <c r="A25" s="5" t="inlineStr">
        <is>
          <t>Firezone</t>
        </is>
      </c>
      <c r="B25" s="5" t="inlineStr">
        <is>
          <t>Chemical</t>
        </is>
      </c>
      <c r="C25" s="6" t="n">
        <v>885</v>
      </c>
      <c r="D25" s="5" t="n"/>
      <c r="E25" s="5" t="n"/>
      <c r="F25" s="5" t="n"/>
    </row>
    <row r="26">
      <c r="A26" s="5" t="inlineStr">
        <is>
          <t>Mesotrione</t>
        </is>
      </c>
      <c r="B26" s="5" t="inlineStr">
        <is>
          <t>Chemical</t>
        </is>
      </c>
      <c r="C26" s="5" t="n"/>
      <c r="D26" s="6" t="n">
        <v>882</v>
      </c>
      <c r="E26" s="5" t="n"/>
      <c r="F26" s="5" t="n"/>
    </row>
    <row r="27">
      <c r="A27" s="5" t="inlineStr">
        <is>
          <t>Sterling Blue</t>
        </is>
      </c>
      <c r="B27" s="5" t="inlineStr">
        <is>
          <t>Chemical</t>
        </is>
      </c>
      <c r="C27" s="5" t="n"/>
      <c r="D27" s="6" t="n">
        <v>860</v>
      </c>
      <c r="E27" s="5" t="n"/>
      <c r="F27" s="5" t="n"/>
    </row>
    <row r="28">
      <c r="A28" s="5" t="inlineStr">
        <is>
          <t>Interlock</t>
        </is>
      </c>
      <c r="B28" s="5" t="inlineStr">
        <is>
          <t>Chemical</t>
        </is>
      </c>
      <c r="C28" s="6" t="n">
        <v>640</v>
      </c>
      <c r="D28" s="5" t="n"/>
      <c r="E28" s="5" t="n"/>
      <c r="F28" s="5" t="n"/>
    </row>
    <row r="29">
      <c r="A29" s="5" t="inlineStr">
        <is>
          <t>Destiny HC</t>
        </is>
      </c>
      <c r="B29" s="5" t="inlineStr">
        <is>
          <t>Chemical</t>
        </is>
      </c>
      <c r="C29" s="6" t="n">
        <v>350.63</v>
      </c>
      <c r="D29" s="5" t="n"/>
      <c r="E29" s="5" t="n"/>
      <c r="F29" s="5" t="n"/>
    </row>
    <row r="30">
      <c r="A30" s="5" t="inlineStr">
        <is>
          <t>Preference</t>
        </is>
      </c>
      <c r="B30" s="5" t="inlineStr">
        <is>
          <t>Chemical</t>
        </is>
      </c>
      <c r="C30" s="6" t="n">
        <v>484.38</v>
      </c>
      <c r="D30" s="6" t="n">
        <v>268.13</v>
      </c>
      <c r="E30" s="6" t="n">
        <v>-216.25</v>
      </c>
      <c r="F30" s="7" t="n">
        <v>-0.4464470044180189</v>
      </c>
    </row>
    <row r="31">
      <c r="A31" s="5" t="inlineStr">
        <is>
          <t>Atarrus</t>
        </is>
      </c>
      <c r="B31" s="5" t="inlineStr">
        <is>
          <t>Chemical</t>
        </is>
      </c>
      <c r="C31" s="5" t="n"/>
      <c r="D31" s="6" t="n">
        <v>187.96</v>
      </c>
      <c r="E31" s="5" t="n"/>
      <c r="F31" s="5" t="n"/>
    </row>
    <row r="32">
      <c r="A32" s="5" t="inlineStr">
        <is>
          <t>Cidewinder</t>
        </is>
      </c>
      <c r="B32" s="5" t="inlineStr">
        <is>
          <t>Chemical</t>
        </is>
      </c>
      <c r="C32" s="6" t="n">
        <v>160.34</v>
      </c>
      <c r="D32" s="5" t="n"/>
      <c r="E32" s="5" t="n"/>
      <c r="F32" s="5" t="n"/>
    </row>
    <row r="33">
      <c r="A33" s="5" t="inlineStr">
        <is>
          <t>Tempus 90/10 PREF</t>
        </is>
      </c>
      <c r="B33" s="5" t="inlineStr">
        <is>
          <t>Chemical</t>
        </is>
      </c>
      <c r="C33" s="5" t="n"/>
      <c r="D33" s="6" t="n">
        <v>125.63</v>
      </c>
      <c r="E33" s="5" t="n"/>
      <c r="F33" s="5" t="n"/>
    </row>
    <row r="34">
      <c r="A34" s="5" t="inlineStr">
        <is>
          <t>AG42XF1</t>
        </is>
      </c>
      <c r="B34" s="5" t="inlineStr">
        <is>
          <t>Seed</t>
        </is>
      </c>
      <c r="C34" s="5" t="n"/>
      <c r="D34" s="6" t="n">
        <v>8964</v>
      </c>
      <c r="E34" s="5" t="n"/>
      <c r="F34" s="5" t="n"/>
    </row>
    <row r="35">
      <c r="A35" s="5" t="inlineStr">
        <is>
          <t>DKC114-43RIB</t>
        </is>
      </c>
      <c r="B35" s="5" t="inlineStr">
        <is>
          <t>Seed</t>
        </is>
      </c>
      <c r="C35" s="5" t="n"/>
      <c r="D35" s="6" t="n">
        <v>5059.52</v>
      </c>
      <c r="E35" s="5" t="n"/>
      <c r="F35" s="5" t="n"/>
    </row>
    <row r="36">
      <c r="A36" s="5" t="inlineStr">
        <is>
          <t>DKC104-08RIB</t>
        </is>
      </c>
      <c r="B36" s="5" t="inlineStr">
        <is>
          <t>Seed</t>
        </is>
      </c>
      <c r="C36" s="6" t="n">
        <v>299.89</v>
      </c>
      <c r="D36" s="6" t="n">
        <v>4463.84</v>
      </c>
      <c r="E36" s="6" t="n">
        <v>4163.95</v>
      </c>
      <c r="F36" s="7" t="n">
        <v>13.88492447230651</v>
      </c>
    </row>
    <row r="37">
      <c r="A37" s="5" t="inlineStr">
        <is>
          <t>DKC64-25</t>
        </is>
      </c>
      <c r="B37" s="5" t="inlineStr">
        <is>
          <t>Seed</t>
        </is>
      </c>
      <c r="C37" s="6" t="n">
        <v>2004.8</v>
      </c>
      <c r="D37" s="6" t="n">
        <v>3934.4</v>
      </c>
      <c r="E37" s="6" t="n">
        <v>1929.6</v>
      </c>
      <c r="F37" s="7" t="n">
        <v>0.962490023942538</v>
      </c>
    </row>
    <row r="38">
      <c r="A38" s="5" t="inlineStr">
        <is>
          <t>DKC61-80RIB</t>
        </is>
      </c>
      <c r="B38" s="5" t="inlineStr">
        <is>
          <t>Seed</t>
        </is>
      </c>
      <c r="C38" s="5" t="n"/>
      <c r="D38" s="6" t="n">
        <v>3868.32</v>
      </c>
      <c r="E38" s="5" t="n"/>
      <c r="F38" s="5" t="n"/>
    </row>
    <row r="39">
      <c r="A39" s="5" t="inlineStr">
        <is>
          <t>DKC63-55RIB</t>
        </is>
      </c>
      <c r="B39" s="5" t="inlineStr">
        <is>
          <t>Seed</t>
        </is>
      </c>
      <c r="C39" s="6" t="n">
        <v>225.76</v>
      </c>
      <c r="D39" s="6" t="n">
        <v>3298.32</v>
      </c>
      <c r="E39" s="6" t="n">
        <v>3072.56</v>
      </c>
      <c r="F39" s="7" t="n">
        <v>13.60985116938342</v>
      </c>
    </row>
    <row r="40">
      <c r="A40" s="5" t="inlineStr">
        <is>
          <t>DKS44-07</t>
        </is>
      </c>
      <c r="B40" s="5" t="inlineStr">
        <is>
          <t>Seed</t>
        </is>
      </c>
      <c r="C40" s="6" t="n">
        <v>177.85</v>
      </c>
      <c r="D40" s="6" t="n">
        <v>2858.88</v>
      </c>
      <c r="E40" s="6" t="n">
        <v>2681.03</v>
      </c>
      <c r="F40" s="7" t="n">
        <v>15.07466966544841</v>
      </c>
    </row>
    <row r="41">
      <c r="A41" s="5" t="inlineStr">
        <is>
          <t>CP 225WRR</t>
        </is>
      </c>
      <c r="B41" s="5" t="inlineStr">
        <is>
          <t>Seed</t>
        </is>
      </c>
      <c r="C41" s="6" t="n">
        <v>2395</v>
      </c>
      <c r="D41" s="5" t="n"/>
      <c r="E41" s="5" t="n"/>
      <c r="F41" s="5" t="n"/>
    </row>
    <row r="42">
      <c r="A42" s="5" t="inlineStr">
        <is>
          <t>AG46XF2</t>
        </is>
      </c>
      <c r="B42" s="5" t="inlineStr">
        <is>
          <t>Seed</t>
        </is>
      </c>
      <c r="C42" s="5" t="n"/>
      <c r="D42" s="6" t="n">
        <v>1792.8</v>
      </c>
      <c r="E42" s="5" t="n"/>
      <c r="F42" s="5" t="n"/>
    </row>
    <row r="43">
      <c r="A43" s="5" t="inlineStr">
        <is>
          <t>Excel II Hybrid Saf Sorghum/Sudan</t>
        </is>
      </c>
      <c r="B43" s="5" t="inlineStr">
        <is>
          <t>Seed</t>
        </is>
      </c>
      <c r="C43" s="6" t="n">
        <v>920</v>
      </c>
      <c r="D43" s="5" t="n"/>
      <c r="E43" s="5" t="n"/>
      <c r="F43" s="5" t="n"/>
    </row>
    <row r="44">
      <c r="A44" s="5" t="inlineStr">
        <is>
          <t>Primo R1 SM inoculant</t>
        </is>
      </c>
      <c r="B44" s="5" t="inlineStr">
        <is>
          <t>Seed</t>
        </is>
      </c>
      <c r="C44" s="5" t="n"/>
      <c r="D44" s="6" t="n">
        <v>900</v>
      </c>
      <c r="E44" s="5" t="n"/>
      <c r="F44" s="5" t="n"/>
    </row>
    <row r="45">
      <c r="A45" s="5" t="inlineStr">
        <is>
          <t>Magnum LDP Hybrid FS Safened</t>
        </is>
      </c>
      <c r="B45" s="5" t="inlineStr">
        <is>
          <t>Seed</t>
        </is>
      </c>
      <c r="C45" s="6" t="n">
        <v>564</v>
      </c>
      <c r="D45" s="5" t="n"/>
      <c r="E45" s="5" t="n"/>
      <c r="F45" s="5" t="n"/>
    </row>
    <row r="46">
      <c r="A46" s="5" t="inlineStr">
        <is>
          <t>DKC57-23RIB</t>
        </is>
      </c>
      <c r="B46" s="5" t="inlineStr">
        <is>
          <t>Seed</t>
        </is>
      </c>
      <c r="C46" s="6" t="n">
        <v>259.63</v>
      </c>
      <c r="D46" s="5" t="n"/>
      <c r="E46" s="5" t="n"/>
      <c r="F46" s="5" t="n"/>
    </row>
    <row r="47">
      <c r="A47" s="5" t="inlineStr">
        <is>
          <t>DKS36-07</t>
        </is>
      </c>
      <c r="B47" s="5" t="inlineStr">
        <is>
          <t>Seed</t>
        </is>
      </c>
      <c r="C47" s="6" t="n">
        <v>172.06</v>
      </c>
      <c r="D47" s="5" t="n"/>
      <c r="E47" s="5" t="n"/>
      <c r="F47" s="5" t="n"/>
    </row>
    <row r="48">
      <c r="A48" s="5" t="inlineStr">
        <is>
          <t>DKS54-07</t>
        </is>
      </c>
      <c r="B48" s="5" t="inlineStr">
        <is>
          <t>Seed</t>
        </is>
      </c>
      <c r="C48" s="6" t="n">
        <v>172.06</v>
      </c>
      <c r="D48" s="5" t="n"/>
      <c r="E48" s="5" t="n"/>
      <c r="F48" s="5" t="n"/>
    </row>
    <row r="49">
      <c r="A49" s="8" t="inlineStr">
        <is>
          <t>TOTAL</t>
        </is>
      </c>
      <c r="B49" s="8" t="n"/>
      <c r="C49" s="9">
        <f>SUM(C2:C48)</f>
        <v/>
      </c>
      <c r="D49" s="9">
        <f>SUM(D2:D48)</f>
        <v/>
      </c>
      <c r="E49" s="9">
        <f>D49-C49</f>
        <v/>
      </c>
      <c r="F49" s="10">
        <f>IF(C49=0,"",(D49-C49)/C49)</f>
        <v/>
      </c>
    </row>
    <row r="51">
      <c r="A51" s="11" t="inlineStr">
        <is>
          <t>NOT COMPARABLE YEAR-OVER-YEAR:</t>
        </is>
      </c>
    </row>
    <row r="52">
      <c r="A52" t="inlineStr">
        <is>
          <t>2025 figures are Kanza only. 2026 figures cover FBN, FCE, Kanza, Sims, Mom &amp; Dad and Tyree Ag.</t>
        </is>
      </c>
    </row>
    <row r="53">
      <c r="A53" t="inlineStr">
        <is>
          <t>A product bought from Kanza in 2025 and Sims in 2026 will look like a huge increase when it is not.</t>
        </is>
      </c>
    </row>
    <row r="54">
      <c r="A54" t="inlineStr">
        <is>
          <t>Excluded from both years: fuel, feed, finance/credit-card charges, fertilizer tonnage tax, aerial application, hardware.</t>
        </is>
      </c>
    </row>
    <row r="55">
      <c r="A55" t="inlineStr">
        <is>
          <t>Also excluded: Kanza Dec-2025 prepaid of $30,485.33 for 2026 inputs (statement carried no itemization).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</cols>
  <sheetData>
    <row r="1">
      <c r="A1" s="1" t="inlineStr">
        <is>
          <t>Type this exactly into the Category column</t>
        </is>
      </c>
    </row>
    <row r="2">
      <c r="A2" t="inlineStr">
        <is>
          <t>Agco (Expense)</t>
        </is>
      </c>
    </row>
    <row r="3">
      <c r="A3" t="inlineStr">
        <is>
          <t>Agco (Income)</t>
        </is>
      </c>
    </row>
    <row r="4">
      <c r="A4" t="inlineStr">
        <is>
          <t>Chemical</t>
        </is>
      </c>
    </row>
    <row r="5">
      <c r="A5" t="inlineStr">
        <is>
          <t>Conservation</t>
        </is>
      </c>
    </row>
    <row r="6">
      <c r="A6" t="inlineStr">
        <is>
          <t>Custom Work</t>
        </is>
      </c>
    </row>
    <row r="7">
      <c r="A7" t="inlineStr">
        <is>
          <t>Drying</t>
        </is>
      </c>
    </row>
    <row r="8">
      <c r="A8" t="inlineStr">
        <is>
          <t>Employee Benefits</t>
        </is>
      </c>
    </row>
    <row r="9">
      <c r="A9" t="inlineStr">
        <is>
          <t>Equipment Rent/Lease</t>
        </is>
      </c>
    </row>
    <row r="10">
      <c r="A10" t="inlineStr">
        <is>
          <t>FCE (Expense)</t>
        </is>
      </c>
    </row>
    <row r="11">
      <c r="A11" t="inlineStr">
        <is>
          <t>FCE (Income)</t>
        </is>
      </c>
    </row>
    <row r="12">
      <c r="A12" t="inlineStr">
        <is>
          <t>Feed</t>
        </is>
      </c>
    </row>
    <row r="13">
      <c r="A13" t="inlineStr">
        <is>
          <t>Fertilizer</t>
        </is>
      </c>
    </row>
    <row r="14">
      <c r="A14" t="inlineStr">
        <is>
          <t>Fuel</t>
        </is>
      </c>
    </row>
    <row r="15">
      <c r="A15" t="inlineStr">
        <is>
          <t>Gift Given</t>
        </is>
      </c>
    </row>
    <row r="16">
      <c r="A16" t="inlineStr">
        <is>
          <t>Gift Received</t>
        </is>
      </c>
    </row>
    <row r="17">
      <c r="A17" t="inlineStr">
        <is>
          <t>Harvest</t>
        </is>
      </c>
    </row>
    <row r="18">
      <c r="A18" t="inlineStr">
        <is>
          <t>House Project: Purchase Price</t>
        </is>
      </c>
    </row>
    <row r="19">
      <c r="A19" t="inlineStr">
        <is>
          <t>House Project: Rehab / Materials</t>
        </is>
      </c>
    </row>
    <row r="20">
      <c r="A20" t="inlineStr">
        <is>
          <t>House Project: Sale Proceeds</t>
        </is>
      </c>
    </row>
    <row r="21">
      <c r="A21" t="inlineStr">
        <is>
          <t>House Project: Selling Costs</t>
        </is>
      </c>
    </row>
    <row r="22">
      <c r="A22" t="inlineStr">
        <is>
          <t>Insurance</t>
        </is>
      </c>
    </row>
    <row r="23">
      <c r="A23" t="inlineStr">
        <is>
          <t>Interest — Mortgage</t>
        </is>
      </c>
    </row>
    <row r="24">
      <c r="A24" t="inlineStr">
        <is>
          <t>Interest — Other</t>
        </is>
      </c>
    </row>
    <row r="25">
      <c r="A25" t="inlineStr">
        <is>
          <t>Kanza (Expense)</t>
        </is>
      </c>
    </row>
    <row r="26">
      <c r="A26" t="inlineStr">
        <is>
          <t>Kanza (Income)</t>
        </is>
      </c>
    </row>
    <row r="27">
      <c r="A27" t="inlineStr">
        <is>
          <t>Labor</t>
        </is>
      </c>
    </row>
    <row r="28">
      <c r="A28" t="inlineStr">
        <is>
          <t>Livestock Purchased</t>
        </is>
      </c>
    </row>
    <row r="29">
      <c r="A29" t="inlineStr">
        <is>
          <t>Livestock Sold</t>
        </is>
      </c>
    </row>
    <row r="30">
      <c r="A30" t="inlineStr">
        <is>
          <t>Loan Principal Payment</t>
        </is>
      </c>
    </row>
    <row r="31">
      <c r="A31" t="inlineStr">
        <is>
          <t>Loan Proceeds Received</t>
        </is>
      </c>
    </row>
    <row r="32">
      <c r="A32" t="inlineStr">
        <is>
          <t>Other</t>
        </is>
      </c>
    </row>
    <row r="33">
      <c r="A33" t="inlineStr">
        <is>
          <t>Pension &amp; Profit-Sharing</t>
        </is>
      </c>
    </row>
    <row r="34">
      <c r="A34" t="inlineStr">
        <is>
          <t>Personal / Excluded</t>
        </is>
      </c>
    </row>
    <row r="35">
      <c r="A35" t="inlineStr">
        <is>
          <t>Program Payment</t>
        </is>
      </c>
    </row>
    <row r="36">
      <c r="A36" t="inlineStr">
        <is>
          <t>Rent</t>
        </is>
      </c>
    </row>
    <row r="37">
      <c r="A37" t="inlineStr">
        <is>
          <t>Repairs &amp; Maintenance</t>
        </is>
      </c>
    </row>
    <row r="38">
      <c r="A38" t="inlineStr">
        <is>
          <t>Royalty: Lease Bonus / Delay Rental</t>
        </is>
      </c>
    </row>
    <row r="39">
      <c r="A39" t="inlineStr">
        <is>
          <t>Royalty: Mineral Income</t>
        </is>
      </c>
    </row>
    <row r="40">
      <c r="A40" t="inlineStr">
        <is>
          <t>Royalty: Oil &amp; Gas Income</t>
        </is>
      </c>
    </row>
    <row r="41">
      <c r="A41" t="inlineStr">
        <is>
          <t>Royalty: Related Expenses</t>
        </is>
      </c>
    </row>
    <row r="42">
      <c r="A42" t="inlineStr">
        <is>
          <t>SE: Advertising</t>
        </is>
      </c>
    </row>
    <row r="43">
      <c r="A43" t="inlineStr">
        <is>
          <t>SE: Commissions &amp; Fees</t>
        </is>
      </c>
    </row>
    <row r="44">
      <c r="A44" t="inlineStr">
        <is>
          <t>SE: Contract Labor</t>
        </is>
      </c>
    </row>
    <row r="45">
      <c r="A45" t="inlineStr">
        <is>
          <t>SE: Depreciation</t>
        </is>
      </c>
    </row>
    <row r="46">
      <c r="A46" t="inlineStr">
        <is>
          <t>SE: Equipment Rent/Lease</t>
        </is>
      </c>
    </row>
    <row r="47">
      <c r="A47" t="inlineStr">
        <is>
          <t>SE: Insurance</t>
        </is>
      </c>
    </row>
    <row r="48">
      <c r="A48" t="inlineStr">
        <is>
          <t>SE: Interest</t>
        </is>
      </c>
    </row>
    <row r="49">
      <c r="A49" t="inlineStr">
        <is>
          <t>SE: Legal &amp; Professional</t>
        </is>
      </c>
    </row>
    <row r="50">
      <c r="A50" t="inlineStr">
        <is>
          <t>SE: Meals</t>
        </is>
      </c>
    </row>
    <row r="51">
      <c r="A51" t="inlineStr">
        <is>
          <t>SE: Office Expense</t>
        </is>
      </c>
    </row>
    <row r="52">
      <c r="A52" t="inlineStr">
        <is>
          <t>SE: Other</t>
        </is>
      </c>
    </row>
    <row r="53">
      <c r="A53" t="inlineStr">
        <is>
          <t>SE: Other Self-Employment Income</t>
        </is>
      </c>
    </row>
    <row r="54">
      <c r="A54" t="inlineStr">
        <is>
          <t>SE: Rent — Other Business Property</t>
        </is>
      </c>
    </row>
    <row r="55">
      <c r="A55" t="inlineStr">
        <is>
          <t>SE: Repairs &amp; Maintenance</t>
        </is>
      </c>
    </row>
    <row r="56">
      <c r="A56" t="inlineStr">
        <is>
          <t>SE: Services / Custom Work Income</t>
        </is>
      </c>
    </row>
    <row r="57">
      <c r="A57" t="inlineStr">
        <is>
          <t>SE: Supplies</t>
        </is>
      </c>
    </row>
    <row r="58">
      <c r="A58" t="inlineStr">
        <is>
          <t>SE: Taxes &amp; Licenses</t>
        </is>
      </c>
    </row>
    <row r="59">
      <c r="A59" t="inlineStr">
        <is>
          <t>SE: Travel</t>
        </is>
      </c>
    </row>
    <row r="60">
      <c r="A60" t="inlineStr">
        <is>
          <t>SE: Utilities</t>
        </is>
      </c>
    </row>
    <row r="61">
      <c r="A61" t="inlineStr">
        <is>
          <t>SE: Vehicle</t>
        </is>
      </c>
    </row>
    <row r="62">
      <c r="A62" t="inlineStr">
        <is>
          <t>SE: Wages</t>
        </is>
      </c>
    </row>
    <row r="63">
      <c r="A63" t="inlineStr">
        <is>
          <t>Seed</t>
        </is>
      </c>
    </row>
    <row r="64">
      <c r="A64" t="inlineStr">
        <is>
          <t>Supplies</t>
        </is>
      </c>
    </row>
    <row r="65">
      <c r="A65" t="inlineStr">
        <is>
          <t>Taxes &amp; Licenses</t>
        </is>
      </c>
    </row>
    <row r="66">
      <c r="A66" t="inlineStr">
        <is>
          <t>Trucking</t>
        </is>
      </c>
    </row>
    <row r="67">
      <c r="A67" t="inlineStr">
        <is>
          <t>Utilities</t>
        </is>
      </c>
    </row>
    <row r="68">
      <c r="A68" t="inlineStr">
        <is>
          <t>Vehicle</t>
        </is>
      </c>
    </row>
    <row r="69">
      <c r="A69" t="inlineStr">
        <is>
          <t>Veterinary &amp; Medicine</t>
        </is>
      </c>
    </row>
    <row r="70">
      <c r="A70" t="inlineStr">
        <is>
          <t>Wages (W-2)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10" defaultColWidth="8.83203125" defaultRowHeight="15"/>
  <cols>
    <col width="90" customWidth="1" min="1" max="1"/>
  </cols>
  <sheetData>
    <row r="1">
      <c r="A1" t="inlineStr">
        <is>
          <t>This splits one lump-sum product bill across the fields that actually used it, by their logged activity — the same thing the "Allocate Product Cost" form does, just for many products at once.</t>
        </is>
      </c>
    </row>
    <row r="2">
      <c r="A2" t="inlineStr">
        <is>
          <t>The Year and Product Name columns are already filled in from your actual field activity history — every product/year combo that's been logged and still needs a dollar amount. Just fill in Total Amount, Category, and (optionally) Vendor/Date for each row you want to allocate.</t>
        </is>
      </c>
    </row>
    <row r="3">
      <c r="A3" t="inlineStr">
        <is>
          <t>Don't need to allocate a row right now? Leave its Total Amount blank and it'll be skipped — no need to delete the row.</t>
        </is>
      </c>
    </row>
    <row r="4">
      <c r="A4" t="inlineStr">
        <is>
          <t>Want to allocate something not listed? Add a new row — Product Name just needs to match how it was logged on field activities for that year.</t>
        </is>
      </c>
    </row>
    <row r="5">
      <c r="A5" t="inlineStr">
        <is>
          <t>Category must match a name exactly from the "Categories (reference)" sheet.</t>
        </is>
      </c>
    </row>
    <row r="6">
      <c r="A6" t="inlineStr">
        <is>
          <t>Leave Date blank to file it at Dec 31 of that Year.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3" customWidth="1" min="4" max="4"/>
    <col width="18" customWidth="1" min="5" max="5"/>
  </cols>
  <sheetData>
    <row r="1">
      <c r="A1" s="24" t="inlineStr">
        <is>
          <t>FCE statements — fuel, feed and finance charges. These are NOT field products, so they do not go in the allocation upload; log them as Fuel / Feed / Interest expenses instead.</t>
        </is>
      </c>
    </row>
    <row r="3">
      <c r="A3" s="28" t="inlineStr">
        <is>
          <t>Month</t>
        </is>
      </c>
      <c r="B3" s="28" t="inlineStr">
        <is>
          <t>Item</t>
        </is>
      </c>
      <c r="C3" s="28" t="inlineStr">
        <is>
          <t>Gallons / Qty</t>
        </is>
      </c>
      <c r="D3" s="28" t="inlineStr">
        <is>
          <t>Amount</t>
        </is>
      </c>
      <c r="E3" s="28" t="inlineStr">
        <is>
          <t>Price per gal / unit</t>
        </is>
      </c>
    </row>
    <row r="4">
      <c r="A4" t="inlineStr">
        <is>
          <t>2026-01</t>
        </is>
      </c>
      <c r="B4" t="inlineStr">
        <is>
          <t>Clear Diesel</t>
        </is>
      </c>
      <c r="C4" t="n">
        <v>77.5</v>
      </c>
      <c r="D4" s="2" t="n">
        <v>248.35</v>
      </c>
      <c r="E4" s="15">
        <f>D4/C4</f>
        <v/>
      </c>
    </row>
    <row r="5">
      <c r="A5" t="inlineStr">
        <is>
          <t>2026-01</t>
        </is>
      </c>
      <c r="B5" t="inlineStr">
        <is>
          <t>Dyed Diesel</t>
        </is>
      </c>
      <c r="C5" t="n">
        <v>17.17</v>
      </c>
      <c r="D5" s="2" t="n">
        <v>47.03</v>
      </c>
      <c r="E5" s="15">
        <f>D5/C5</f>
        <v/>
      </c>
    </row>
    <row r="6">
      <c r="A6" t="inlineStr">
        <is>
          <t>2026-01</t>
        </is>
      </c>
      <c r="B6" t="inlineStr">
        <is>
          <t>Feed (20% breeder cubes, bags)</t>
        </is>
      </c>
      <c r="C6" t="n">
        <v>30</v>
      </c>
      <c r="D6" s="2" t="n">
        <v>286.5</v>
      </c>
      <c r="E6" s="15">
        <f>D6/C6</f>
        <v/>
      </c>
    </row>
    <row r="7">
      <c r="A7" t="inlineStr">
        <is>
          <t>2026-01</t>
        </is>
      </c>
      <c r="B7" t="inlineStr">
        <is>
          <t>Gasoline</t>
        </is>
      </c>
      <c r="C7" t="n">
        <v>18.61</v>
      </c>
      <c r="D7" s="2" t="n">
        <v>48.38</v>
      </c>
      <c r="E7" s="15">
        <f>D7/C7</f>
        <v/>
      </c>
    </row>
    <row r="8">
      <c r="A8" t="inlineStr">
        <is>
          <t>2026-02</t>
        </is>
      </c>
      <c r="B8" t="inlineStr">
        <is>
          <t>Clear Diesel</t>
        </is>
      </c>
      <c r="C8" t="n">
        <v>73.36</v>
      </c>
      <c r="D8" s="2" t="n">
        <v>243.28</v>
      </c>
      <c r="E8" s="15">
        <f>D8/C8</f>
        <v/>
      </c>
    </row>
    <row r="9">
      <c r="A9" t="inlineStr">
        <is>
          <t>2026-02</t>
        </is>
      </c>
      <c r="B9" t="inlineStr">
        <is>
          <t>Dyed Diesel</t>
        </is>
      </c>
      <c r="C9" t="n">
        <v>167.61</v>
      </c>
      <c r="D9" s="2" t="n">
        <v>469.13</v>
      </c>
      <c r="E9" s="15">
        <f>D9/C9</f>
        <v/>
      </c>
    </row>
    <row r="10">
      <c r="A10" t="inlineStr">
        <is>
          <t>2026-02</t>
        </is>
      </c>
      <c r="B10" t="inlineStr">
        <is>
          <t>Feed (20% breeder cubes, bags)</t>
        </is>
      </c>
      <c r="C10" t="n">
        <v>76</v>
      </c>
      <c r="D10" s="2" t="n">
        <v>736.6</v>
      </c>
      <c r="E10" s="15">
        <f>D10/C10</f>
        <v/>
      </c>
    </row>
    <row r="11">
      <c r="A11" t="inlineStr">
        <is>
          <t>2026-02</t>
        </is>
      </c>
      <c r="B11" t="inlineStr">
        <is>
          <t>Gasoline</t>
        </is>
      </c>
      <c r="C11" t="n">
        <v>37.77</v>
      </c>
      <c r="D11" s="2" t="n">
        <v>93.5</v>
      </c>
      <c r="E11" s="15">
        <f>D11/C11</f>
        <v/>
      </c>
    </row>
    <row r="12">
      <c r="A12" t="inlineStr">
        <is>
          <t>2026-03</t>
        </is>
      </c>
      <c r="B12" t="inlineStr">
        <is>
          <t>Clear Diesel</t>
        </is>
      </c>
      <c r="C12" t="n">
        <v>28.36</v>
      </c>
      <c r="D12" s="2" t="n">
        <v>119.08</v>
      </c>
      <c r="E12" s="15">
        <f>D12/C12</f>
        <v/>
      </c>
    </row>
    <row r="13">
      <c r="A13" t="inlineStr">
        <is>
          <t>2026-03</t>
        </is>
      </c>
      <c r="B13" t="inlineStr">
        <is>
          <t>Dyed Diesel</t>
        </is>
      </c>
      <c r="C13" t="n">
        <v>232.53</v>
      </c>
      <c r="D13" s="2" t="n">
        <v>875.7</v>
      </c>
      <c r="E13" s="15">
        <f>D13/C13</f>
        <v/>
      </c>
    </row>
    <row r="14">
      <c r="A14" t="inlineStr">
        <is>
          <t>2026-03</t>
        </is>
      </c>
      <c r="B14" t="inlineStr">
        <is>
          <t>Gasoline</t>
        </is>
      </c>
      <c r="C14" t="n">
        <v>71.56</v>
      </c>
      <c r="D14" s="2" t="n">
        <v>216.57</v>
      </c>
      <c r="E14" s="15">
        <f>D14/C14</f>
        <v/>
      </c>
    </row>
    <row r="15">
      <c r="A15" t="inlineStr">
        <is>
          <t>2026-03</t>
        </is>
      </c>
      <c r="B15" t="inlineStr">
        <is>
          <t>Finance Charge</t>
        </is>
      </c>
      <c r="D15" s="2" t="n">
        <v>55.97</v>
      </c>
    </row>
    <row r="16">
      <c r="A16" t="inlineStr">
        <is>
          <t>2026-04</t>
        </is>
      </c>
      <c r="B16" t="inlineStr">
        <is>
          <t>Clear Diesel</t>
        </is>
      </c>
      <c r="C16" t="n">
        <v>81.06</v>
      </c>
      <c r="D16" s="2" t="n">
        <v>370.23</v>
      </c>
      <c r="E16" s="15">
        <f>D16/C16</f>
        <v/>
      </c>
    </row>
    <row r="17">
      <c r="A17" t="inlineStr">
        <is>
          <t>2026-04</t>
        </is>
      </c>
      <c r="B17" t="inlineStr">
        <is>
          <t>Dyed Diesel</t>
        </is>
      </c>
      <c r="C17" t="n">
        <v>1041.98</v>
      </c>
      <c r="D17" s="2" t="n">
        <v>4285.54</v>
      </c>
      <c r="E17" s="15">
        <f>D17/C17</f>
        <v/>
      </c>
    </row>
    <row r="18">
      <c r="A18" t="inlineStr">
        <is>
          <t>2026-04</t>
        </is>
      </c>
      <c r="B18" t="inlineStr">
        <is>
          <t>Gasoline</t>
        </is>
      </c>
      <c r="C18" t="n">
        <v>80.40000000000001</v>
      </c>
      <c r="D18" s="2" t="n">
        <v>273.58</v>
      </c>
      <c r="E18" s="15">
        <f>D18/C18</f>
        <v/>
      </c>
    </row>
    <row r="19">
      <c r="A19" t="inlineStr">
        <is>
          <t>2026-05</t>
        </is>
      </c>
      <c r="B19" t="inlineStr">
        <is>
          <t>Clear Diesel</t>
        </is>
      </c>
      <c r="C19" t="n">
        <v>62.48</v>
      </c>
      <c r="D19" s="2" t="n">
        <v>319.19</v>
      </c>
      <c r="E19" s="15">
        <f>D19/C19</f>
        <v/>
      </c>
    </row>
    <row r="20">
      <c r="A20" t="inlineStr">
        <is>
          <t>2026-05</t>
        </is>
      </c>
      <c r="B20" t="inlineStr">
        <is>
          <t>Dyed Diesel</t>
        </is>
      </c>
      <c r="C20" t="n">
        <v>540.26</v>
      </c>
      <c r="D20" s="2" t="n">
        <v>2490.01</v>
      </c>
      <c r="E20" s="15">
        <f>D20/C20</f>
        <v/>
      </c>
    </row>
    <row r="21">
      <c r="A21" t="inlineStr">
        <is>
          <t>2026-05</t>
        </is>
      </c>
      <c r="B21" t="inlineStr">
        <is>
          <t>Gasoline</t>
        </is>
      </c>
      <c r="C21" t="n">
        <v>49.11</v>
      </c>
      <c r="D21" s="2" t="n">
        <v>195.31</v>
      </c>
      <c r="E21" s="15">
        <f>D21/C21</f>
        <v/>
      </c>
    </row>
    <row r="22">
      <c r="A22" t="inlineStr">
        <is>
          <t>2026-06</t>
        </is>
      </c>
      <c r="B22" t="inlineStr">
        <is>
          <t>Clear Diesel</t>
        </is>
      </c>
      <c r="C22" t="n">
        <v>58.86</v>
      </c>
      <c r="D22" s="2" t="n">
        <v>260.59</v>
      </c>
      <c r="E22" s="15">
        <f>D22/C22</f>
        <v/>
      </c>
    </row>
    <row r="23">
      <c r="A23" t="inlineStr">
        <is>
          <t>2026-06</t>
        </is>
      </c>
      <c r="B23" t="inlineStr">
        <is>
          <t>Dyed Diesel</t>
        </is>
      </c>
      <c r="C23" t="n">
        <v>798.38</v>
      </c>
      <c r="D23" s="2" t="n">
        <v>3205.5</v>
      </c>
      <c r="E23" s="15">
        <f>D23/C23</f>
        <v/>
      </c>
    </row>
    <row r="24">
      <c r="A24" t="inlineStr">
        <is>
          <t>2026-06</t>
        </is>
      </c>
      <c r="B24" t="inlineStr">
        <is>
          <t>Gasoline</t>
        </is>
      </c>
      <c r="C24" t="n">
        <v>83.34</v>
      </c>
      <c r="D24" s="2" t="n">
        <v>308.83</v>
      </c>
      <c r="E24" s="15">
        <f>D24/C24</f>
        <v/>
      </c>
    </row>
    <row r="25">
      <c r="A25" t="inlineStr">
        <is>
          <t>2026-06</t>
        </is>
      </c>
      <c r="B25" t="inlineStr">
        <is>
          <t>Finance Charge</t>
        </is>
      </c>
      <c r="D25" s="2" t="n">
        <v>45.07</v>
      </c>
    </row>
    <row r="26">
      <c r="A26" t="inlineStr">
        <is>
          <t>2026-07</t>
        </is>
      </c>
      <c r="B26" t="inlineStr">
        <is>
          <t>Clear Diesel</t>
        </is>
      </c>
      <c r="C26" t="n">
        <v>83.38</v>
      </c>
      <c r="D26" s="2" t="n">
        <v>372.47</v>
      </c>
      <c r="E26" s="15">
        <f>D26/C26</f>
        <v/>
      </c>
    </row>
    <row r="27">
      <c r="A27" t="inlineStr">
        <is>
          <t>2026-07</t>
        </is>
      </c>
      <c r="B27" t="inlineStr">
        <is>
          <t>Dyed Diesel</t>
        </is>
      </c>
      <c r="C27" t="n">
        <v>1279.14</v>
      </c>
      <c r="D27" s="2" t="n">
        <v>4872.86</v>
      </c>
      <c r="E27" s="15">
        <f>D27/C27</f>
        <v/>
      </c>
    </row>
    <row r="28">
      <c r="A28" t="inlineStr">
        <is>
          <t>2026-07</t>
        </is>
      </c>
      <c r="B28" t="inlineStr">
        <is>
          <t>Feed (20% breeder cubes, bags)</t>
        </is>
      </c>
      <c r="C28" t="n">
        <v>22</v>
      </c>
      <c r="D28" s="2" t="n">
        <v>220</v>
      </c>
      <c r="E28" s="15">
        <f>D28/C28</f>
        <v/>
      </c>
    </row>
    <row r="29">
      <c r="A29" t="inlineStr">
        <is>
          <t>2026-07</t>
        </is>
      </c>
      <c r="B29" t="inlineStr">
        <is>
          <t>Gasoline</t>
        </is>
      </c>
      <c r="C29" t="n">
        <v>114.41</v>
      </c>
      <c r="D29" s="2" t="n">
        <v>413.09</v>
      </c>
      <c r="E29" s="15">
        <f>D29/C29</f>
        <v/>
      </c>
    </row>
    <row r="30">
      <c r="A30" t="inlineStr">
        <is>
          <t>2026-08</t>
        </is>
      </c>
      <c r="B30" t="inlineStr">
        <is>
          <t>Clear Diesel</t>
        </is>
      </c>
      <c r="C30" t="n">
        <v>25.71</v>
      </c>
      <c r="D30" s="2" t="n">
        <v>130.05</v>
      </c>
      <c r="E30" s="15">
        <f>D30/C30</f>
        <v/>
      </c>
    </row>
    <row r="31">
      <c r="A31" t="inlineStr">
        <is>
          <t>2026-08</t>
        </is>
      </c>
      <c r="B31" t="inlineStr">
        <is>
          <t>Dyed Diesel</t>
        </is>
      </c>
      <c r="C31" t="n">
        <v>236.31</v>
      </c>
      <c r="D31" s="2" t="n">
        <v>1068.55</v>
      </c>
      <c r="E31" s="15">
        <f>D31/C31</f>
        <v/>
      </c>
    </row>
    <row r="32">
      <c r="A32" t="inlineStr">
        <is>
          <t>2026-08</t>
        </is>
      </c>
      <c r="B32" t="inlineStr">
        <is>
          <t>Gasoline</t>
        </is>
      </c>
      <c r="C32" t="n">
        <v>90.88</v>
      </c>
      <c r="D32" s="2" t="n">
        <v>341.76</v>
      </c>
      <c r="E32" s="15">
        <f>D32/C32</f>
        <v/>
      </c>
    </row>
    <row r="33">
      <c r="A33" t="inlineStr">
        <is>
          <t>2026-09</t>
        </is>
      </c>
      <c r="B33" t="inlineStr">
        <is>
          <t>Clear Diesel</t>
        </is>
      </c>
      <c r="C33" t="n">
        <v>50.55</v>
      </c>
      <c r="D33" s="2" t="n">
        <v>291.32</v>
      </c>
      <c r="E33" s="15">
        <f>D33/C33</f>
        <v/>
      </c>
    </row>
    <row r="34">
      <c r="A34" t="inlineStr">
        <is>
          <t>2026-09</t>
        </is>
      </c>
      <c r="B34" t="inlineStr">
        <is>
          <t>Dyed Diesel</t>
        </is>
      </c>
      <c r="C34" t="n">
        <v>122.06</v>
      </c>
      <c r="D34" s="2" t="n">
        <v>684.61</v>
      </c>
      <c r="E34" s="15">
        <f>D34/C34</f>
        <v/>
      </c>
    </row>
    <row r="35">
      <c r="A35" t="inlineStr">
        <is>
          <t>2026-09</t>
        </is>
      </c>
      <c r="B35" t="inlineStr">
        <is>
          <t>Gasoline</t>
        </is>
      </c>
      <c r="C35" t="n">
        <v>82.55</v>
      </c>
      <c r="D35" s="2" t="n">
        <v>335.18</v>
      </c>
      <c r="E35" s="15">
        <f>D35/C35</f>
        <v/>
      </c>
    </row>
    <row r="37">
      <c r="A37" s="24" t="inlineStr">
        <is>
          <t>Totals</t>
        </is>
      </c>
    </row>
    <row r="38">
      <c r="A38" t="inlineStr"/>
      <c r="B38" t="inlineStr">
        <is>
          <t>Clear Diesel</t>
        </is>
      </c>
      <c r="C38">
        <f>SUMIFS(C4:C35,B4:B35,"Clear Diesel")</f>
        <v/>
      </c>
      <c r="D38" s="2">
        <f>SUMIFS(D4:D35,B4:B35,"Clear Diesel")</f>
        <v/>
      </c>
      <c r="E38" s="15">
        <f>IF(C38&gt;0,D38/C38,"")</f>
        <v/>
      </c>
    </row>
    <row r="39">
      <c r="A39" t="inlineStr"/>
      <c r="B39" t="inlineStr">
        <is>
          <t>Dyed Diesel</t>
        </is>
      </c>
      <c r="C39">
        <f>SUMIFS(C4:C35,B4:B35,"Dyed Diesel")</f>
        <v/>
      </c>
      <c r="D39" s="2">
        <f>SUMIFS(D4:D35,B4:B35,"Dyed Diesel")</f>
        <v/>
      </c>
      <c r="E39" s="15">
        <f>IF(C39&gt;0,D39/C39,"")</f>
        <v/>
      </c>
    </row>
    <row r="40">
      <c r="A40" t="inlineStr"/>
      <c r="B40" t="inlineStr">
        <is>
          <t>Gasoline</t>
        </is>
      </c>
      <c r="C40">
        <f>SUMIFS(C4:C35,B4:B35,"Gasoline")</f>
        <v/>
      </c>
      <c r="D40" s="2">
        <f>SUMIFS(D4:D35,B4:B35,"Gasoline")</f>
        <v/>
      </c>
      <c r="E40" s="15">
        <f>IF(C40&gt;0,D40/C40,"")</f>
        <v/>
      </c>
    </row>
    <row r="41">
      <c r="A41" t="inlineStr"/>
      <c r="B41" t="inlineStr">
        <is>
          <t>Feed (20% breeder cubes, bags)</t>
        </is>
      </c>
      <c r="C41">
        <f>SUMIFS(C4:C35,B4:B35,"Feed (20% breeder cubes, bags)")</f>
        <v/>
      </c>
      <c r="D41" s="2">
        <f>SUMIFS(D4:D35,B4:B35,"Feed (20% breeder cubes, bags)")</f>
        <v/>
      </c>
      <c r="E41" s="15">
        <f>IF(C41&gt;0,D41/C41,"")</f>
        <v/>
      </c>
    </row>
    <row r="42">
      <c r="A42" t="inlineStr"/>
      <c r="B42" t="inlineStr">
        <is>
          <t>Finance Charge</t>
        </is>
      </c>
      <c r="C42">
        <f>SUMIFS(C4:C35,B4:B35,"Finance Charge")</f>
        <v/>
      </c>
      <c r="D42" s="2">
        <f>SUMIFS(D4:D35,B4:B35,"Finance Charge")</f>
        <v/>
      </c>
    </row>
    <row r="44">
      <c r="A44" t="inlineStr">
        <is>
          <t>FCE fertilizer (10-34-0, IVC Zinc, THIO) is on the Allocate Product Cost sheet, not here.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9" t="inlineStr">
        <is>
          <t>What changed in this version</t>
        </is>
      </c>
    </row>
    <row r="2">
      <c r="A2" s="30" t="inlineStr"/>
    </row>
    <row r="3">
      <c r="A3" s="30" t="inlineStr">
        <is>
          <t>NEW columns G–M (green headers): Quantity, Unit, Price per Unit, Price per lb, Price per gal, Invoice / Source, Notes. The upload only reads columns A–F, so these are just for you.</t>
        </is>
      </c>
    </row>
    <row r="4">
      <c r="A4" s="30" t="inlineStr">
        <is>
          <t>Products bought at different prices are on separate rows with the SAME product name (AMS, 32-0-0, 28-0-0, THIO, Glypex, Paraquat, Humic).</t>
        </is>
      </c>
    </row>
    <row r="5">
      <c r="A5" s="30" t="inlineStr">
        <is>
          <t>The updated upload adds same-name rows together and splits them once, so the second row no longer erases the first. Push the app update before uploading.</t>
        </is>
      </c>
    </row>
    <row r="6">
      <c r="A6" s="30" t="inlineStr">
        <is>
          <t>Kanza AMS added: 1,632 lb @ $0.40/lb = $652.80 (invoices 1718211, 1720714, 1721359).</t>
        </is>
      </c>
    </row>
    <row r="7">
      <c r="A7" s="30" t="inlineStr">
        <is>
          <t>Sims AMS added on its own: 8,160 lb @ $0.36 and 4,080 lb @ $0.45.</t>
        </is>
      </c>
    </row>
    <row r="8">
      <c r="A8" s="30" t="inlineStr">
        <is>
          <t>RED row = Mom &amp; Dad AMS $5,263.20, left exactly as it was. Uploading it AND the Sims rows adds both into AMS. Delete whichever is wrong before you upload.</t>
        </is>
      </c>
    </row>
    <row r="9">
      <c r="A9" s="30" t="inlineStr">
        <is>
          <t>ORANGE rows = FCE THIO that was inside your 28-0-0 total ($3,637.35). Totals are unchanged — move it if it belongs under THIO.</t>
        </is>
      </c>
    </row>
    <row r="10">
      <c r="A10" s="30" t="inlineStr">
        <is>
          <t>YELLOW rows = no invoice quantity yet (Trevo P).</t>
        </is>
      </c>
    </row>
    <row r="11">
      <c r="A11" s="30" t="inlineStr">
        <is>
          <t>28 Thio row removed (not yours).</t>
        </is>
      </c>
    </row>
    <row r="12">
      <c r="A12" s="30" t="inlineStr">
        <is>
          <t>Price per lb / gal for products bought by the ton or gallon uses standard weights: 32% UAN 11.06 lb/gal, 28% UAN 10.67, 10-34-0 11.65, Thio 11.1.</t>
        </is>
      </c>
    </row>
    <row r="13">
      <c r="A13" s="30" t="inlineStr">
        <is>
          <t>FCE fuel, feed and finance charges are on the "FCE Fuel &amp; Other" sheet — not field products, so not in the upload.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2026-09-20T17:08:00Z</dcterms:created>
  <dcterms:modified xmlns:dcterms="http://purl.org/dc/terms/" xmlns:xsi="http://www.w3.org/2001/XMLSchema-instance" xsi:type="dcterms:W3CDTF">2026-10-14T00:45:10Z</dcterms:modified>
  <cp:lastModifiedBy>Kaydee Hase</cp:lastModifiedBy>
</cp:coreProperties>
</file>